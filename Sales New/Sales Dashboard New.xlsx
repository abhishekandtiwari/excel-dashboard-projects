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30C45FB-C7B9-4AB2-B44E-1398918C5B9B}" xr6:coauthVersionLast="47" xr6:coauthVersionMax="47" xr10:uidLastSave="{00000000-0000-0000-0000-000000000000}"/>
  <bookViews>
    <workbookView xWindow="-108" yWindow="-108" windowWidth="23256" windowHeight="12456" xr2:uid="{8E0097F6-70AC-434E-AE97-6ED3F5BB88F6}"/>
  </bookViews>
  <sheets>
    <sheet name="Dashboard" sheetId="8" r:id="rId1"/>
    <sheet name="Products" sheetId="10" r:id="rId2"/>
    <sheet name="SalesMan" sheetId="11" r:id="rId3"/>
    <sheet name="About" sheetId="12" r:id="rId4"/>
    <sheet name="Sales Data" sheetId="1" r:id="rId5"/>
    <sheet name="Pivot Table" sheetId="9" r:id="rId6"/>
  </sheets>
  <definedNames>
    <definedName name="NativeTimeline_Date">#N/A</definedName>
    <definedName name="Slicer_Item">#N/A</definedName>
    <definedName name="Slicer_Region">#N/A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25" i="9"/>
  <c r="B20" i="9"/>
</calcChain>
</file>

<file path=xl/sharedStrings.xml><?xml version="1.0" encoding="utf-8"?>
<sst xmlns="http://schemas.openxmlformats.org/spreadsheetml/2006/main" count="1192" uniqueCount="52">
  <si>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</si>
  <si>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</si>
  <si>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</si>
  <si>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</si>
  <si>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</si>
  <si>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</si>
  <si>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</si>
  <si>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</si>
  <si>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</si>
  <si>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</si>
  <si>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</si>
  <si>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</si>
  <si>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</si>
  <si>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</si>
  <si>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</si>
  <si>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</si>
  <si>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</si>
  <si>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</si>
  <si>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</si>
  <si>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</si>
  <si>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</si>
  <si>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</si>
  <si>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</si>
  <si>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</si>
  <si>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</si>
  <si>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</si>
  <si>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Feb</t>
  </si>
  <si>
    <t>Mar</t>
  </si>
  <si>
    <t>Apr</t>
  </si>
  <si>
    <t>May</t>
  </si>
  <si>
    <t>Jun</t>
  </si>
  <si>
    <t>Jul</t>
  </si>
  <si>
    <t>Aug</t>
  </si>
  <si>
    <t>Sep</t>
  </si>
  <si>
    <t>Oct</t>
  </si>
  <si>
    <t>Sum of Amount</t>
  </si>
  <si>
    <t>Count of Amount</t>
  </si>
  <si>
    <t>Sum of Qty</t>
  </si>
  <si>
    <t>Jan</t>
  </si>
  <si>
    <t>Nov</t>
  </si>
  <si>
    <t>Dec</t>
  </si>
  <si>
    <t>Sales by Months</t>
  </si>
  <si>
    <t>Sales by Region</t>
  </si>
  <si>
    <t>Sales by Products</t>
  </si>
  <si>
    <t>Total Amount</t>
  </si>
  <si>
    <t>Total Sales</t>
  </si>
  <si>
    <t>Top 3 Products</t>
  </si>
  <si>
    <t>Bottom 3 Products</t>
  </si>
  <si>
    <t>Product wise Sales</t>
  </si>
  <si>
    <t>Top 3 Salesman</t>
  </si>
  <si>
    <t>Bottom 3 Salesman</t>
  </si>
  <si>
    <t>Sale by Salesman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</si>
</sst>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6" formatCode="0.0%"/>
    <numFmt numFmtId="168" formatCode="_(* #,##0_);_(* \(#,##0\);_(* &quot;-&quot;??_);_(@_)"/>
  </numFmts>
  <fonts count="3" x14ac:knownFonts="1">
    <font>
      <sz val="14"/>
      <color theme="1"/>
      <name val="Calibri"/>
      <family val="2"/>
      <scheme val="minor"/>
    </font>
    <font>
      <b/>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10" fontId="0" fillId="0" borderId="0" xfId="0" applyNumberFormat="1"/>
    <xf numFmtId="1" fontId="0" fillId="0" borderId="0" xfId="0" applyNumberFormat="1"/>
    <xf numFmtId="0" fontId="1" fillId="0" borderId="0" xfId="0" applyFont="1"/>
    <xf numFmtId="0" fontId="1" fillId="0" borderId="0" xfId="0" applyFont="1" applyAlignment="1">
      <alignment horizontal="left"/>
    </xf>
    <xf numFmtId="166" fontId="0" fillId="0" borderId="0" xfId="0" applyNumberFormat="1"/>
    <xf numFmtId="168" fontId="0" fillId="0" borderId="0" xfId="1" applyNumberFormat="1" applyFont="1"/>
    <xf numFmtId="0" fontId="0" fillId="0" borderId="0" xfId="0" applyNumberFormat="1"/>
  </cellXfs>
  <cellStyles count="2">
    <cellStyle name="Comma" xfId="1" builtinId="3"/>
    <cellStyle name="Normal" xfId="0" builtinId="0"/>
  </cellStyles>
  <dxfs count="9">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99A9-47C3-B3F9-8E33D7F4DA1B}"/>
            </c:ext>
          </c:extLst>
        </c:ser>
        <c:dLbls>
          <c:showLegendKey val="0"/>
          <c:showVal val="0"/>
          <c:showCatName val="0"/>
          <c:showSerName val="0"/>
          <c:showPercent val="0"/>
          <c:showBubbleSize val="0"/>
        </c:dLbls>
        <c:smooth val="0"/>
        <c:axId val="219992064"/>
        <c:axId val="219995904"/>
      </c:lineChart>
      <c:catAx>
        <c:axId val="2199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95904"/>
        <c:crosses val="autoZero"/>
        <c:auto val="1"/>
        <c:lblAlgn val="ctr"/>
        <c:lblOffset val="100"/>
        <c:noMultiLvlLbl val="0"/>
      </c:catAx>
      <c:valAx>
        <c:axId val="219995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9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Table'!$D$3:$D$7</c:f>
              <c:strCache>
                <c:ptCount val="4"/>
                <c:pt idx="0">
                  <c:v>East</c:v>
                </c:pt>
                <c:pt idx="1">
                  <c:v>North</c:v>
                </c:pt>
                <c:pt idx="2">
                  <c:v>South</c:v>
                </c:pt>
                <c:pt idx="3">
                  <c:v>West</c:v>
                </c:pt>
              </c:strCache>
            </c:strRef>
          </c:cat>
          <c:val>
            <c:numRef>
              <c:f>'Pivot Table'!$E$3:$E$7</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8ACE-4B7A-8DB6-CC11F2FAF91D}"/>
            </c:ext>
          </c:extLst>
        </c:ser>
        <c:dLbls>
          <c:showLegendKey val="0"/>
          <c:showVal val="0"/>
          <c:showCatName val="0"/>
          <c:showSerName val="0"/>
          <c:showPercent val="0"/>
          <c:showBubbleSize val="0"/>
        </c:dLbls>
        <c:gapWidth val="219"/>
        <c:overlap val="-27"/>
        <c:axId val="362074656"/>
        <c:axId val="362075136"/>
      </c:barChart>
      <c:catAx>
        <c:axId val="3620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075136"/>
        <c:crosses val="autoZero"/>
        <c:auto val="1"/>
        <c:lblAlgn val="ctr"/>
        <c:lblOffset val="100"/>
        <c:noMultiLvlLbl val="0"/>
      </c:catAx>
      <c:valAx>
        <c:axId val="362075136"/>
        <c:scaling>
          <c:orientation val="minMax"/>
        </c:scaling>
        <c:delete val="1"/>
        <c:axPos val="l"/>
        <c:numFmt formatCode="0" sourceLinked="1"/>
        <c:majorTickMark val="none"/>
        <c:minorTickMark val="none"/>
        <c:tickLblPos val="nextTo"/>
        <c:crossAx val="36207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Table'!$D$12:$D$18</c:f>
              <c:strCache>
                <c:ptCount val="6"/>
                <c:pt idx="0">
                  <c:v>Keyboard</c:v>
                </c:pt>
                <c:pt idx="1">
                  <c:v>Monitor</c:v>
                </c:pt>
                <c:pt idx="2">
                  <c:v>Mouse</c:v>
                </c:pt>
                <c:pt idx="3">
                  <c:v>Printer</c:v>
                </c:pt>
                <c:pt idx="4">
                  <c:v>Scanner</c:v>
                </c:pt>
                <c:pt idx="5">
                  <c:v>Speaker</c:v>
                </c:pt>
              </c:strCache>
            </c:strRef>
          </c:cat>
          <c:val>
            <c:numRef>
              <c:f>'Pivot Table'!$E$12:$E$18</c:f>
              <c:numCache>
                <c:formatCode>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DE22-480A-8138-6F1FFC2950E6}"/>
            </c:ext>
          </c:extLst>
        </c:ser>
        <c:dLbls>
          <c:showLegendKey val="0"/>
          <c:showVal val="0"/>
          <c:showCatName val="0"/>
          <c:showSerName val="0"/>
          <c:showPercent val="0"/>
          <c:showBubbleSize val="0"/>
        </c:dLbls>
        <c:gapWidth val="182"/>
        <c:axId val="354208592"/>
        <c:axId val="354210512"/>
      </c:barChart>
      <c:catAx>
        <c:axId val="35420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210512"/>
        <c:crosses val="autoZero"/>
        <c:auto val="1"/>
        <c:lblAlgn val="ctr"/>
        <c:lblOffset val="100"/>
        <c:noMultiLvlLbl val="0"/>
      </c:catAx>
      <c:valAx>
        <c:axId val="354210512"/>
        <c:scaling>
          <c:orientation val="minMax"/>
        </c:scaling>
        <c:delete val="1"/>
        <c:axPos val="b"/>
        <c:numFmt formatCode="0.0%" sourceLinked="1"/>
        <c:majorTickMark val="none"/>
        <c:minorTickMark val="none"/>
        <c:tickLblPos val="nextTo"/>
        <c:crossAx val="35420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Table'!$A$30:$A$33</c:f>
              <c:strCache>
                <c:ptCount val="3"/>
                <c:pt idx="0">
                  <c:v>Monitor</c:v>
                </c:pt>
                <c:pt idx="1">
                  <c:v>Mouse</c:v>
                </c:pt>
                <c:pt idx="2">
                  <c:v>Printer</c:v>
                </c:pt>
              </c:strCache>
            </c:strRef>
          </c:cat>
          <c:val>
            <c:numRef>
              <c:f>'Pivot Table'!$B$30:$B$33</c:f>
              <c:numCache>
                <c:formatCode>0</c:formatCode>
                <c:ptCount val="3"/>
                <c:pt idx="0">
                  <c:v>251</c:v>
                </c:pt>
                <c:pt idx="1">
                  <c:v>319</c:v>
                </c:pt>
                <c:pt idx="2">
                  <c:v>445</c:v>
                </c:pt>
              </c:numCache>
            </c:numRef>
          </c:val>
          <c:extLst>
            <c:ext xmlns:c16="http://schemas.microsoft.com/office/drawing/2014/chart" uri="{C3380CC4-5D6E-409C-BE32-E72D297353CC}">
              <c16:uniqueId val="{00000000-7876-4CA6-8BE1-E2A97569342C}"/>
            </c:ext>
          </c:extLst>
        </c:ser>
        <c:dLbls>
          <c:showLegendKey val="0"/>
          <c:showVal val="0"/>
          <c:showCatName val="0"/>
          <c:showSerName val="0"/>
          <c:showPercent val="0"/>
          <c:showBubbleSize val="0"/>
        </c:dLbls>
        <c:gapWidth val="182"/>
        <c:axId val="354190832"/>
        <c:axId val="354199472"/>
      </c:barChart>
      <c:catAx>
        <c:axId val="35419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199472"/>
        <c:crosses val="autoZero"/>
        <c:auto val="1"/>
        <c:lblAlgn val="ctr"/>
        <c:lblOffset val="100"/>
        <c:noMultiLvlLbl val="0"/>
      </c:catAx>
      <c:valAx>
        <c:axId val="354199472"/>
        <c:scaling>
          <c:orientation val="minMax"/>
        </c:scaling>
        <c:delete val="1"/>
        <c:axPos val="b"/>
        <c:numFmt formatCode="0" sourceLinked="1"/>
        <c:majorTickMark val="none"/>
        <c:minorTickMark val="none"/>
        <c:tickLblPos val="nextTo"/>
        <c:crossAx val="35419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313210848644"/>
          <c:y val="0.12895143426220659"/>
          <c:w val="0.81751816183127946"/>
          <c:h val="0.86178860582100492"/>
        </c:manualLayout>
      </c:layout>
      <c:barChart>
        <c:barDir val="bar"/>
        <c:grouping val="clustered"/>
        <c:varyColors val="0"/>
        <c:ser>
          <c:idx val="0"/>
          <c:order val="0"/>
          <c:tx>
            <c:strRef>
              <c:f>'Pivot Table'!$B$37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Keyboard</c:v>
                </c:pt>
                <c:pt idx="1">
                  <c:v>Speaker</c:v>
                </c:pt>
                <c:pt idx="2">
                  <c:v>Scanner</c:v>
                </c:pt>
              </c:strCache>
            </c:strRef>
          </c:cat>
          <c:val>
            <c:numRef>
              <c:f>'Pivot Table'!$B$38:$B$41</c:f>
              <c:numCache>
                <c:formatCode>0</c:formatCode>
                <c:ptCount val="3"/>
                <c:pt idx="0">
                  <c:v>132</c:v>
                </c:pt>
                <c:pt idx="1">
                  <c:v>218</c:v>
                </c:pt>
                <c:pt idx="2">
                  <c:v>242</c:v>
                </c:pt>
              </c:numCache>
            </c:numRef>
          </c:val>
          <c:extLst>
            <c:ext xmlns:c16="http://schemas.microsoft.com/office/drawing/2014/chart" uri="{C3380CC4-5D6E-409C-BE32-E72D297353CC}">
              <c16:uniqueId val="{00000000-D4E1-4FE1-A59D-D6931D226A7B}"/>
            </c:ext>
          </c:extLst>
        </c:ser>
        <c:dLbls>
          <c:showLegendKey val="0"/>
          <c:showVal val="0"/>
          <c:showCatName val="0"/>
          <c:showSerName val="0"/>
          <c:showPercent val="0"/>
          <c:showBubbleSize val="0"/>
        </c:dLbls>
        <c:gapWidth val="182"/>
        <c:axId val="124857904"/>
        <c:axId val="124874704"/>
      </c:barChart>
      <c:catAx>
        <c:axId val="12485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74704"/>
        <c:crosses val="autoZero"/>
        <c:auto val="1"/>
        <c:lblAlgn val="ctr"/>
        <c:lblOffset val="100"/>
        <c:noMultiLvlLbl val="0"/>
      </c:catAx>
      <c:valAx>
        <c:axId val="124874704"/>
        <c:scaling>
          <c:orientation val="minMax"/>
        </c:scaling>
        <c:delete val="1"/>
        <c:axPos val="b"/>
        <c:numFmt formatCode="0" sourceLinked="1"/>
        <c:majorTickMark val="none"/>
        <c:minorTickMark val="none"/>
        <c:tickLblPos val="nextTo"/>
        <c:crossAx val="12485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Table'!$A$46:$A$52</c:f>
              <c:strCache>
                <c:ptCount val="6"/>
                <c:pt idx="0">
                  <c:v>Keyboard</c:v>
                </c:pt>
                <c:pt idx="1">
                  <c:v>Monitor</c:v>
                </c:pt>
                <c:pt idx="2">
                  <c:v>Mouse</c:v>
                </c:pt>
                <c:pt idx="3">
                  <c:v>Printer</c:v>
                </c:pt>
                <c:pt idx="4">
                  <c:v>Scanner</c:v>
                </c:pt>
                <c:pt idx="5">
                  <c:v>Speaker</c:v>
                </c:pt>
              </c:strCache>
            </c:strRef>
          </c:cat>
          <c:val>
            <c:numRef>
              <c:f>'Pivot Table'!$B$46:$B$52</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003-46C4-ABC7-AADE98C3CC9E}"/>
            </c:ext>
          </c:extLst>
        </c:ser>
        <c:dLbls>
          <c:showLegendKey val="0"/>
          <c:showVal val="0"/>
          <c:showCatName val="0"/>
          <c:showSerName val="0"/>
          <c:showPercent val="0"/>
          <c:showBubbleSize val="0"/>
        </c:dLbls>
        <c:gapWidth val="219"/>
        <c:overlap val="-27"/>
        <c:axId val="124882864"/>
        <c:axId val="124882384"/>
      </c:barChart>
      <c:catAx>
        <c:axId val="12488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2384"/>
        <c:crosses val="autoZero"/>
        <c:auto val="1"/>
        <c:lblAlgn val="ctr"/>
        <c:lblOffset val="100"/>
        <c:noMultiLvlLbl val="0"/>
      </c:catAx>
      <c:valAx>
        <c:axId val="124882384"/>
        <c:scaling>
          <c:orientation val="minMax"/>
        </c:scaling>
        <c:delete val="1"/>
        <c:axPos val="l"/>
        <c:numFmt formatCode="0" sourceLinked="1"/>
        <c:majorTickMark val="none"/>
        <c:minorTickMark val="none"/>
        <c:tickLblPos val="nextTo"/>
        <c:crossAx val="12488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Table!PivotTable14</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Table'!$A$58:$A$61</c:f>
              <c:strCache>
                <c:ptCount val="3"/>
                <c:pt idx="0">
                  <c:v>Ajit Kumar</c:v>
                </c:pt>
                <c:pt idx="1">
                  <c:v>Rohit Das</c:v>
                </c:pt>
                <c:pt idx="2">
                  <c:v>Siddhu</c:v>
                </c:pt>
              </c:strCache>
            </c:strRef>
          </c:cat>
          <c:val>
            <c:numRef>
              <c:f>'Pivot Table'!$B$58:$B$61</c:f>
              <c:numCache>
                <c:formatCode>0</c:formatCode>
                <c:ptCount val="3"/>
                <c:pt idx="0">
                  <c:v>386030</c:v>
                </c:pt>
                <c:pt idx="1">
                  <c:v>394410</c:v>
                </c:pt>
                <c:pt idx="2">
                  <c:v>551960</c:v>
                </c:pt>
              </c:numCache>
            </c:numRef>
          </c:val>
          <c:extLst>
            <c:ext xmlns:c16="http://schemas.microsoft.com/office/drawing/2014/chart" uri="{C3380CC4-5D6E-409C-BE32-E72D297353CC}">
              <c16:uniqueId val="{00000000-639E-4950-A8F2-A82C17927DAA}"/>
            </c:ext>
          </c:extLst>
        </c:ser>
        <c:dLbls>
          <c:showLegendKey val="0"/>
          <c:showVal val="0"/>
          <c:showCatName val="0"/>
          <c:showSerName val="0"/>
          <c:showPercent val="0"/>
          <c:showBubbleSize val="0"/>
        </c:dLbls>
        <c:gapWidth val="182"/>
        <c:axId val="602815248"/>
        <c:axId val="602821488"/>
      </c:barChart>
      <c:catAx>
        <c:axId val="60281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21488"/>
        <c:crosses val="autoZero"/>
        <c:auto val="1"/>
        <c:lblAlgn val="ctr"/>
        <c:lblOffset val="100"/>
        <c:noMultiLvlLbl val="0"/>
      </c:catAx>
      <c:valAx>
        <c:axId val="602821488"/>
        <c:scaling>
          <c:orientation val="minMax"/>
        </c:scaling>
        <c:delete val="1"/>
        <c:axPos val="b"/>
        <c:numFmt formatCode="0" sourceLinked="1"/>
        <c:majorTickMark val="none"/>
        <c:minorTickMark val="none"/>
        <c:tickLblPos val="nextTo"/>
        <c:crossAx val="60281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Table!PivotTable15</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Table'!$A$67:$A$70</c:f>
              <c:strCache>
                <c:ptCount val="3"/>
                <c:pt idx="0">
                  <c:v>Amit</c:v>
                </c:pt>
                <c:pt idx="1">
                  <c:v>Ramesh</c:v>
                </c:pt>
                <c:pt idx="2">
                  <c:v>Chandu</c:v>
                </c:pt>
              </c:strCache>
            </c:strRef>
          </c:cat>
          <c:val>
            <c:numRef>
              <c:f>'Pivot Table'!$B$67:$B$70</c:f>
              <c:numCache>
                <c:formatCode>0</c:formatCode>
                <c:ptCount val="3"/>
                <c:pt idx="0">
                  <c:v>184690</c:v>
                </c:pt>
                <c:pt idx="1">
                  <c:v>139880</c:v>
                </c:pt>
                <c:pt idx="2">
                  <c:v>125600</c:v>
                </c:pt>
              </c:numCache>
            </c:numRef>
          </c:val>
          <c:extLst>
            <c:ext xmlns:c16="http://schemas.microsoft.com/office/drawing/2014/chart" uri="{C3380CC4-5D6E-409C-BE32-E72D297353CC}">
              <c16:uniqueId val="{00000000-A011-48BF-A95F-2E4EB30DE3EA}"/>
            </c:ext>
          </c:extLst>
        </c:ser>
        <c:dLbls>
          <c:showLegendKey val="0"/>
          <c:showVal val="0"/>
          <c:showCatName val="0"/>
          <c:showSerName val="0"/>
          <c:showPercent val="0"/>
          <c:showBubbleSize val="0"/>
        </c:dLbls>
        <c:gapWidth val="182"/>
        <c:axId val="602834928"/>
        <c:axId val="602835408"/>
      </c:barChart>
      <c:catAx>
        <c:axId val="60283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35408"/>
        <c:crosses val="autoZero"/>
        <c:auto val="1"/>
        <c:lblAlgn val="ctr"/>
        <c:lblOffset val="100"/>
        <c:noMultiLvlLbl val="0"/>
      </c:catAx>
      <c:valAx>
        <c:axId val="602835408"/>
        <c:scaling>
          <c:orientation val="minMax"/>
        </c:scaling>
        <c:delete val="1"/>
        <c:axPos val="b"/>
        <c:numFmt formatCode="0" sourceLinked="1"/>
        <c:majorTickMark val="none"/>
        <c:minorTickMark val="none"/>
        <c:tickLblPos val="nextTo"/>
        <c:crossAx val="60283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excel.xlsx]Pivot Table!PivotTable16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Table'!$A$77:$A$83</c:f>
              <c:strCache>
                <c:ptCount val="6"/>
                <c:pt idx="0">
                  <c:v>Siddhu</c:v>
                </c:pt>
                <c:pt idx="1">
                  <c:v>Rohit Das</c:v>
                </c:pt>
                <c:pt idx="2">
                  <c:v>Ajit Kumar</c:v>
                </c:pt>
                <c:pt idx="3">
                  <c:v>Amit</c:v>
                </c:pt>
                <c:pt idx="4">
                  <c:v>Ramesh</c:v>
                </c:pt>
                <c:pt idx="5">
                  <c:v>Chandu</c:v>
                </c:pt>
              </c:strCache>
            </c:strRef>
          </c:cat>
          <c:val>
            <c:numRef>
              <c:f>'Pivot Table'!$B$77:$B$83</c:f>
              <c:numCache>
                <c:formatCode>0</c:formatCode>
                <c:ptCount val="6"/>
                <c:pt idx="0">
                  <c:v>551960</c:v>
                </c:pt>
                <c:pt idx="1">
                  <c:v>394410</c:v>
                </c:pt>
                <c:pt idx="2">
                  <c:v>386030</c:v>
                </c:pt>
                <c:pt idx="3">
                  <c:v>184690</c:v>
                </c:pt>
                <c:pt idx="4">
                  <c:v>139880</c:v>
                </c:pt>
                <c:pt idx="5">
                  <c:v>125600</c:v>
                </c:pt>
              </c:numCache>
            </c:numRef>
          </c:val>
          <c:extLst>
            <c:ext xmlns:c16="http://schemas.microsoft.com/office/drawing/2014/chart" uri="{C3380CC4-5D6E-409C-BE32-E72D297353CC}">
              <c16:uniqueId val="{00000000-275E-40ED-B0A4-E7B5B0381A04}"/>
            </c:ext>
          </c:extLst>
        </c:ser>
        <c:dLbls>
          <c:showLegendKey val="0"/>
          <c:showVal val="0"/>
          <c:showCatName val="0"/>
          <c:showSerName val="0"/>
          <c:showPercent val="0"/>
          <c:showBubbleSize val="0"/>
        </c:dLbls>
        <c:gapWidth val="219"/>
        <c:overlap val="-27"/>
        <c:axId val="602821008"/>
        <c:axId val="602806608"/>
      </c:barChart>
      <c:catAx>
        <c:axId val="60282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06608"/>
        <c:crosses val="autoZero"/>
        <c:auto val="1"/>
        <c:lblAlgn val="ctr"/>
        <c:lblOffset val="100"/>
        <c:noMultiLvlLbl val="0"/>
      </c:catAx>
      <c:valAx>
        <c:axId val="602806608"/>
        <c:scaling>
          <c:orientation val="minMax"/>
        </c:scaling>
        <c:delete val="1"/>
        <c:axPos val="l"/>
        <c:numFmt formatCode="0" sourceLinked="1"/>
        <c:majorTickMark val="none"/>
        <c:minorTickMark val="none"/>
        <c:tickLblPos val="nextTo"/>
        <c:crossAx val="60282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s!A1"/><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hyperlink" Target="#About!A1"/><Relationship Id="rId4" Type="http://schemas.openxmlformats.org/officeDocument/2006/relationships/image" Target="../media/image4.svg"/><Relationship Id="rId9" Type="http://schemas.openxmlformats.org/officeDocument/2006/relationships/hyperlink" Target="#SalesMan!A1"/></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5" Type="http://schemas.openxmlformats.org/officeDocument/2006/relationships/image" Target="../media/image7.png"/><Relationship Id="rId4"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13</xdr:col>
      <xdr:colOff>777240</xdr:colOff>
      <xdr:row>22</xdr:row>
      <xdr:rowOff>83820</xdr:rowOff>
    </xdr:to>
    <xdr:sp macro="" textlink="">
      <xdr:nvSpPr>
        <xdr:cNvPr id="2" name="Rectangle: Rounded Corners 1">
          <a:extLst>
            <a:ext uri="{FF2B5EF4-FFF2-40B4-BE49-F238E27FC236}">
              <a16:creationId xmlns:a16="http://schemas.microsoft.com/office/drawing/2014/main" id="{704527F5-4E4B-0B65-10D4-E83A6DE56445}"/>
            </a:ext>
          </a:extLst>
        </xdr:cNvPr>
        <xdr:cNvSpPr/>
      </xdr:nvSpPr>
      <xdr:spPr>
        <a:xfrm>
          <a:off x="68580" y="68580"/>
          <a:ext cx="11010900" cy="5044440"/>
        </a:xfrm>
        <a:prstGeom prst="roundRect">
          <a:avLst>
            <a:gd name="adj" fmla="val 30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647700</xdr:colOff>
      <xdr:row>0</xdr:row>
      <xdr:rowOff>121920</xdr:rowOff>
    </xdr:from>
    <xdr:to>
      <xdr:col>13</xdr:col>
      <xdr:colOff>723900</xdr:colOff>
      <xdr:row>22</xdr:row>
      <xdr:rowOff>45720</xdr:rowOff>
    </xdr:to>
    <xdr:sp macro="" textlink="">
      <xdr:nvSpPr>
        <xdr:cNvPr id="3" name="Rectangle: Rounded Corners 2">
          <a:extLst>
            <a:ext uri="{FF2B5EF4-FFF2-40B4-BE49-F238E27FC236}">
              <a16:creationId xmlns:a16="http://schemas.microsoft.com/office/drawing/2014/main" id="{C22F2A5A-2930-4831-9F59-7958249BCE00}"/>
            </a:ext>
          </a:extLst>
        </xdr:cNvPr>
        <xdr:cNvSpPr/>
      </xdr:nvSpPr>
      <xdr:spPr>
        <a:xfrm>
          <a:off x="1440180" y="121920"/>
          <a:ext cx="9585960" cy="4953000"/>
        </a:xfrm>
        <a:prstGeom prst="roundRect">
          <a:avLst>
            <a:gd name="adj" fmla="val 303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708660</xdr:colOff>
      <xdr:row>0</xdr:row>
      <xdr:rowOff>160020</xdr:rowOff>
    </xdr:from>
    <xdr:to>
      <xdr:col>10</xdr:col>
      <xdr:colOff>419100</xdr:colOff>
      <xdr:row>4</xdr:row>
      <xdr:rowOff>167640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34520E42-8C7E-4F2E-B8EB-D89CD616D2E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501140" y="160020"/>
              <a:ext cx="68427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464820</xdr:colOff>
      <xdr:row>0</xdr:row>
      <xdr:rowOff>152400</xdr:rowOff>
    </xdr:from>
    <xdr:to>
      <xdr:col>13</xdr:col>
      <xdr:colOff>640080</xdr:colOff>
      <xdr:row>4</xdr:row>
      <xdr:rowOff>152399</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6373D53F-CCC2-4E81-A81E-E3B0D33C22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389620" y="152400"/>
              <a:ext cx="25527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723900</xdr:colOff>
      <xdr:row>4</xdr:row>
      <xdr:rowOff>198121</xdr:rowOff>
    </xdr:from>
    <xdr:to>
      <xdr:col>13</xdr:col>
      <xdr:colOff>655320</xdr:colOff>
      <xdr:row>7</xdr:row>
      <xdr:rowOff>175260</xdr:rowOff>
    </xdr:to>
    <mc:AlternateContent xmlns:mc="http://schemas.openxmlformats.org/markup-compatibility/2006">
      <mc:Choice xmlns:a14="http://schemas.microsoft.com/office/drawing/2010/main" Requires="a14">
        <xdr:graphicFrame macro="">
          <xdr:nvGraphicFramePr>
            <xdr:cNvPr id="6" name="Item 1">
              <a:extLst>
                <a:ext uri="{FF2B5EF4-FFF2-40B4-BE49-F238E27FC236}">
                  <a16:creationId xmlns:a16="http://schemas.microsoft.com/office/drawing/2014/main" id="{D9A8D059-476D-4279-BB74-96A029A6CFD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516380" y="1112521"/>
              <a:ext cx="944118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678180</xdr:colOff>
      <xdr:row>7</xdr:row>
      <xdr:rowOff>175260</xdr:rowOff>
    </xdr:from>
    <xdr:to>
      <xdr:col>2</xdr:col>
      <xdr:colOff>381000</xdr:colOff>
      <xdr:row>9</xdr:row>
      <xdr:rowOff>213360</xdr:rowOff>
    </xdr:to>
    <xdr:pic>
      <xdr:nvPicPr>
        <xdr:cNvPr id="8" name="Graphic 7" descr="Bar graph with upward trend RTL">
          <a:extLst>
            <a:ext uri="{FF2B5EF4-FFF2-40B4-BE49-F238E27FC236}">
              <a16:creationId xmlns:a16="http://schemas.microsoft.com/office/drawing/2014/main" id="{F4FB9AEC-05F8-A1AB-89B1-945583994A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70660" y="1775460"/>
          <a:ext cx="495300" cy="495300"/>
        </a:xfrm>
        <a:prstGeom prst="rect">
          <a:avLst/>
        </a:prstGeom>
      </xdr:spPr>
    </xdr:pic>
    <xdr:clientData/>
  </xdr:twoCellAnchor>
  <xdr:twoCellAnchor>
    <xdr:from>
      <xdr:col>2</xdr:col>
      <xdr:colOff>266700</xdr:colOff>
      <xdr:row>8</xdr:row>
      <xdr:rowOff>38100</xdr:rowOff>
    </xdr:from>
    <xdr:to>
      <xdr:col>3</xdr:col>
      <xdr:colOff>746760</xdr:colOff>
      <xdr:row>9</xdr:row>
      <xdr:rowOff>190500</xdr:rowOff>
    </xdr:to>
    <xdr:sp macro="" textlink="">
      <xdr:nvSpPr>
        <xdr:cNvPr id="9" name="Rectangle: Rounded Corners 8">
          <a:extLst>
            <a:ext uri="{FF2B5EF4-FFF2-40B4-BE49-F238E27FC236}">
              <a16:creationId xmlns:a16="http://schemas.microsoft.com/office/drawing/2014/main" id="{D160C785-214C-BCEB-6FDD-AF35E8289C95}"/>
            </a:ext>
          </a:extLst>
        </xdr:cNvPr>
        <xdr:cNvSpPr/>
      </xdr:nvSpPr>
      <xdr:spPr>
        <a:xfrm>
          <a:off x="1851660" y="1866900"/>
          <a:ext cx="127254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mn-lt"/>
            </a:rPr>
            <a:t>ANALYTICS</a:t>
          </a:r>
        </a:p>
      </xdr:txBody>
    </xdr:sp>
    <xdr:clientData/>
  </xdr:twoCellAnchor>
  <xdr:twoCellAnchor>
    <xdr:from>
      <xdr:col>1</xdr:col>
      <xdr:colOff>746760</xdr:colOff>
      <xdr:row>13</xdr:row>
      <xdr:rowOff>38100</xdr:rowOff>
    </xdr:from>
    <xdr:to>
      <xdr:col>7</xdr:col>
      <xdr:colOff>624840</xdr:colOff>
      <xdr:row>21</xdr:row>
      <xdr:rowOff>220980</xdr:rowOff>
    </xdr:to>
    <xdr:sp macro="" textlink="">
      <xdr:nvSpPr>
        <xdr:cNvPr id="11" name="Rectangle 10">
          <a:extLst>
            <a:ext uri="{FF2B5EF4-FFF2-40B4-BE49-F238E27FC236}">
              <a16:creationId xmlns:a16="http://schemas.microsoft.com/office/drawing/2014/main" id="{67A7E126-CE68-2D3F-A996-309E5127EC84}"/>
            </a:ext>
          </a:extLst>
        </xdr:cNvPr>
        <xdr:cNvSpPr/>
      </xdr:nvSpPr>
      <xdr:spPr>
        <a:xfrm>
          <a:off x="1539240" y="3009900"/>
          <a:ext cx="4632960" cy="2011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7</xdr:col>
      <xdr:colOff>716280</xdr:colOff>
      <xdr:row>10</xdr:row>
      <xdr:rowOff>45720</xdr:rowOff>
    </xdr:from>
    <xdr:to>
      <xdr:col>13</xdr:col>
      <xdr:colOff>594360</xdr:colOff>
      <xdr:row>15</xdr:row>
      <xdr:rowOff>205740</xdr:rowOff>
    </xdr:to>
    <xdr:sp macro="" textlink="">
      <xdr:nvSpPr>
        <xdr:cNvPr id="12" name="Rectangle 11">
          <a:extLst>
            <a:ext uri="{FF2B5EF4-FFF2-40B4-BE49-F238E27FC236}">
              <a16:creationId xmlns:a16="http://schemas.microsoft.com/office/drawing/2014/main" id="{A01E1372-E273-2580-762C-91708EB3168C}"/>
            </a:ext>
          </a:extLst>
        </xdr:cNvPr>
        <xdr:cNvSpPr/>
      </xdr:nvSpPr>
      <xdr:spPr>
        <a:xfrm>
          <a:off x="6263640" y="2331720"/>
          <a:ext cx="4632960" cy="130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716280</xdr:colOff>
      <xdr:row>16</xdr:row>
      <xdr:rowOff>68580</xdr:rowOff>
    </xdr:from>
    <xdr:to>
      <xdr:col>13</xdr:col>
      <xdr:colOff>594360</xdr:colOff>
      <xdr:row>22</xdr:row>
      <xdr:rowOff>0</xdr:rowOff>
    </xdr:to>
    <xdr:sp macro="" textlink="">
      <xdr:nvSpPr>
        <xdr:cNvPr id="13" name="Rectangle 12">
          <a:extLst>
            <a:ext uri="{FF2B5EF4-FFF2-40B4-BE49-F238E27FC236}">
              <a16:creationId xmlns:a16="http://schemas.microsoft.com/office/drawing/2014/main" id="{E1F85DEE-4C5F-024F-F023-A80253D627B9}"/>
            </a:ext>
          </a:extLst>
        </xdr:cNvPr>
        <xdr:cNvSpPr/>
      </xdr:nvSpPr>
      <xdr:spPr>
        <a:xfrm>
          <a:off x="6263640" y="3726180"/>
          <a:ext cx="4632960" cy="130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701040</xdr:colOff>
      <xdr:row>9</xdr:row>
      <xdr:rowOff>205740</xdr:rowOff>
    </xdr:from>
    <xdr:to>
      <xdr:col>4</xdr:col>
      <xdr:colOff>601980</xdr:colOff>
      <xdr:row>12</xdr:row>
      <xdr:rowOff>175260</xdr:rowOff>
    </xdr:to>
    <xdr:sp macro="" textlink="">
      <xdr:nvSpPr>
        <xdr:cNvPr id="14" name="Rectangle: Rounded Corners 13">
          <a:extLst>
            <a:ext uri="{FF2B5EF4-FFF2-40B4-BE49-F238E27FC236}">
              <a16:creationId xmlns:a16="http://schemas.microsoft.com/office/drawing/2014/main" id="{62B1AAE3-668D-ADFD-B133-5976521EED74}"/>
            </a:ext>
          </a:extLst>
        </xdr:cNvPr>
        <xdr:cNvSpPr/>
      </xdr:nvSpPr>
      <xdr:spPr>
        <a:xfrm>
          <a:off x="1493520" y="2263140"/>
          <a:ext cx="2278380" cy="65532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701040</xdr:colOff>
      <xdr:row>9</xdr:row>
      <xdr:rowOff>213360</xdr:rowOff>
    </xdr:from>
    <xdr:to>
      <xdr:col>7</xdr:col>
      <xdr:colOff>594360</xdr:colOff>
      <xdr:row>12</xdr:row>
      <xdr:rowOff>182880</xdr:rowOff>
    </xdr:to>
    <xdr:sp macro="" textlink="">
      <xdr:nvSpPr>
        <xdr:cNvPr id="15" name="Rectangle: Rounded Corners 14">
          <a:extLst>
            <a:ext uri="{FF2B5EF4-FFF2-40B4-BE49-F238E27FC236}">
              <a16:creationId xmlns:a16="http://schemas.microsoft.com/office/drawing/2014/main" id="{196731F8-5842-90D2-3F41-975C9FD73D08}"/>
            </a:ext>
          </a:extLst>
        </xdr:cNvPr>
        <xdr:cNvSpPr/>
      </xdr:nvSpPr>
      <xdr:spPr>
        <a:xfrm>
          <a:off x="3870960" y="2270760"/>
          <a:ext cx="2270760" cy="65532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9</xdr:row>
      <xdr:rowOff>205740</xdr:rowOff>
    </xdr:from>
    <xdr:to>
      <xdr:col>4</xdr:col>
      <xdr:colOff>601980</xdr:colOff>
      <xdr:row>12</xdr:row>
      <xdr:rowOff>175260</xdr:rowOff>
    </xdr:to>
    <xdr:sp macro="" textlink="">
      <xdr:nvSpPr>
        <xdr:cNvPr id="16" name="Rectangle: Rounded Corners 15">
          <a:extLst>
            <a:ext uri="{FF2B5EF4-FFF2-40B4-BE49-F238E27FC236}">
              <a16:creationId xmlns:a16="http://schemas.microsoft.com/office/drawing/2014/main" id="{A0703312-F18E-4977-4C09-C4DA8DFFA7C3}"/>
            </a:ext>
          </a:extLst>
        </xdr:cNvPr>
        <xdr:cNvSpPr/>
      </xdr:nvSpPr>
      <xdr:spPr>
        <a:xfrm>
          <a:off x="1592580" y="2263140"/>
          <a:ext cx="2179320" cy="655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9</xdr:row>
      <xdr:rowOff>213360</xdr:rowOff>
    </xdr:from>
    <xdr:to>
      <xdr:col>7</xdr:col>
      <xdr:colOff>594360</xdr:colOff>
      <xdr:row>12</xdr:row>
      <xdr:rowOff>182880</xdr:rowOff>
    </xdr:to>
    <xdr:sp macro="" textlink="">
      <xdr:nvSpPr>
        <xdr:cNvPr id="17" name="Rectangle: Rounded Corners 16">
          <a:extLst>
            <a:ext uri="{FF2B5EF4-FFF2-40B4-BE49-F238E27FC236}">
              <a16:creationId xmlns:a16="http://schemas.microsoft.com/office/drawing/2014/main" id="{C3EABF64-B6D7-68AA-5CE1-96F44EABB59A}"/>
            </a:ext>
          </a:extLst>
        </xdr:cNvPr>
        <xdr:cNvSpPr/>
      </xdr:nvSpPr>
      <xdr:spPr>
        <a:xfrm>
          <a:off x="3962400" y="2270760"/>
          <a:ext cx="2179320" cy="655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708660</xdr:colOff>
      <xdr:row>10</xdr:row>
      <xdr:rowOff>0</xdr:rowOff>
    </xdr:from>
    <xdr:to>
      <xdr:col>4</xdr:col>
      <xdr:colOff>533400</xdr:colOff>
      <xdr:row>11</xdr:row>
      <xdr:rowOff>76200</xdr:rowOff>
    </xdr:to>
    <xdr:sp macro="" textlink="">
      <xdr:nvSpPr>
        <xdr:cNvPr id="20" name="Rectangle: Rounded Corners 19">
          <a:extLst>
            <a:ext uri="{FF2B5EF4-FFF2-40B4-BE49-F238E27FC236}">
              <a16:creationId xmlns:a16="http://schemas.microsoft.com/office/drawing/2014/main" id="{70A17D16-41ED-40BE-A234-DB49B0D2CBC4}"/>
            </a:ext>
          </a:extLst>
        </xdr:cNvPr>
        <xdr:cNvSpPr/>
      </xdr:nvSpPr>
      <xdr:spPr>
        <a:xfrm>
          <a:off x="2293620" y="2286000"/>
          <a:ext cx="1409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mn-lt"/>
            </a:rPr>
            <a:t>Total Amount</a:t>
          </a:r>
        </a:p>
      </xdr:txBody>
    </xdr:sp>
    <xdr:clientData/>
  </xdr:twoCellAnchor>
  <xdr:twoCellAnchor editAs="oneCell">
    <xdr:from>
      <xdr:col>2</xdr:col>
      <xdr:colOff>22860</xdr:colOff>
      <xdr:row>10</xdr:row>
      <xdr:rowOff>53340</xdr:rowOff>
    </xdr:from>
    <xdr:to>
      <xdr:col>2</xdr:col>
      <xdr:colOff>617220</xdr:colOff>
      <xdr:row>12</xdr:row>
      <xdr:rowOff>137160</xdr:rowOff>
    </xdr:to>
    <xdr:pic>
      <xdr:nvPicPr>
        <xdr:cNvPr id="22" name="Graphic 21" descr="Rupee">
          <a:extLst>
            <a:ext uri="{FF2B5EF4-FFF2-40B4-BE49-F238E27FC236}">
              <a16:creationId xmlns:a16="http://schemas.microsoft.com/office/drawing/2014/main" id="{B2500857-6542-4A7F-E768-F035947431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07820" y="2339340"/>
          <a:ext cx="594360" cy="541020"/>
        </a:xfrm>
        <a:prstGeom prst="rect">
          <a:avLst/>
        </a:prstGeom>
      </xdr:spPr>
    </xdr:pic>
    <xdr:clientData/>
  </xdr:twoCellAnchor>
  <xdr:twoCellAnchor>
    <xdr:from>
      <xdr:col>6</xdr:col>
      <xdr:colOff>205740</xdr:colOff>
      <xdr:row>10</xdr:row>
      <xdr:rowOff>22860</xdr:rowOff>
    </xdr:from>
    <xdr:to>
      <xdr:col>7</xdr:col>
      <xdr:colOff>533400</xdr:colOff>
      <xdr:row>11</xdr:row>
      <xdr:rowOff>99060</xdr:rowOff>
    </xdr:to>
    <xdr:sp macro="" textlink="">
      <xdr:nvSpPr>
        <xdr:cNvPr id="23" name="Rectangle: Rounded Corners 22">
          <a:extLst>
            <a:ext uri="{FF2B5EF4-FFF2-40B4-BE49-F238E27FC236}">
              <a16:creationId xmlns:a16="http://schemas.microsoft.com/office/drawing/2014/main" id="{D58D4CC9-6808-43A7-B166-C643E86FD9D2}"/>
            </a:ext>
          </a:extLst>
        </xdr:cNvPr>
        <xdr:cNvSpPr/>
      </xdr:nvSpPr>
      <xdr:spPr>
        <a:xfrm>
          <a:off x="4960620" y="2308860"/>
          <a:ext cx="112014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mn-lt"/>
            </a:rPr>
            <a:t>Total Sales</a:t>
          </a:r>
        </a:p>
      </xdr:txBody>
    </xdr:sp>
    <xdr:clientData/>
  </xdr:twoCellAnchor>
  <xdr:twoCellAnchor editAs="oneCell">
    <xdr:from>
      <xdr:col>5</xdr:col>
      <xdr:colOff>7620</xdr:colOff>
      <xdr:row>10</xdr:row>
      <xdr:rowOff>38100</xdr:rowOff>
    </xdr:from>
    <xdr:to>
      <xdr:col>5</xdr:col>
      <xdr:colOff>678180</xdr:colOff>
      <xdr:row>12</xdr:row>
      <xdr:rowOff>144780</xdr:rowOff>
    </xdr:to>
    <xdr:pic>
      <xdr:nvPicPr>
        <xdr:cNvPr id="25" name="Graphic 24" descr="Coins">
          <a:extLst>
            <a:ext uri="{FF2B5EF4-FFF2-40B4-BE49-F238E27FC236}">
              <a16:creationId xmlns:a16="http://schemas.microsoft.com/office/drawing/2014/main" id="{0F4D00C0-34E7-8369-9F58-A84ABCB082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70020" y="2324100"/>
          <a:ext cx="670560" cy="563880"/>
        </a:xfrm>
        <a:prstGeom prst="rect">
          <a:avLst/>
        </a:prstGeom>
      </xdr:spPr>
    </xdr:pic>
    <xdr:clientData/>
  </xdr:twoCellAnchor>
  <xdr:twoCellAnchor>
    <xdr:from>
      <xdr:col>7</xdr:col>
      <xdr:colOff>716280</xdr:colOff>
      <xdr:row>9</xdr:row>
      <xdr:rowOff>213360</xdr:rowOff>
    </xdr:from>
    <xdr:to>
      <xdr:col>9</xdr:col>
      <xdr:colOff>662940</xdr:colOff>
      <xdr:row>11</xdr:row>
      <xdr:rowOff>60960</xdr:rowOff>
    </xdr:to>
    <xdr:sp macro="" textlink="">
      <xdr:nvSpPr>
        <xdr:cNvPr id="26" name="Rectangle: Rounded Corners 25">
          <a:extLst>
            <a:ext uri="{FF2B5EF4-FFF2-40B4-BE49-F238E27FC236}">
              <a16:creationId xmlns:a16="http://schemas.microsoft.com/office/drawing/2014/main" id="{C0735167-807F-4AD6-8E9D-1B289F587FC2}"/>
            </a:ext>
          </a:extLst>
        </xdr:cNvPr>
        <xdr:cNvSpPr/>
      </xdr:nvSpPr>
      <xdr:spPr>
        <a:xfrm>
          <a:off x="6263640" y="2270760"/>
          <a:ext cx="153162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Sale</a:t>
          </a:r>
          <a:r>
            <a:rPr lang="en-IN" sz="1400" b="1" baseline="0">
              <a:solidFill>
                <a:schemeClr val="tx1"/>
              </a:solidFill>
              <a:latin typeface="+mn-lt"/>
            </a:rPr>
            <a:t> By Months</a:t>
          </a:r>
          <a:endParaRPr lang="en-IN" sz="1400" b="1">
            <a:solidFill>
              <a:schemeClr val="tx1"/>
            </a:solidFill>
            <a:latin typeface="+mn-lt"/>
          </a:endParaRPr>
        </a:p>
      </xdr:txBody>
    </xdr:sp>
    <xdr:clientData/>
  </xdr:twoCellAnchor>
  <xdr:twoCellAnchor>
    <xdr:from>
      <xdr:col>7</xdr:col>
      <xdr:colOff>716280</xdr:colOff>
      <xdr:row>16</xdr:row>
      <xdr:rowOff>68580</xdr:rowOff>
    </xdr:from>
    <xdr:to>
      <xdr:col>9</xdr:col>
      <xdr:colOff>579120</xdr:colOff>
      <xdr:row>17</xdr:row>
      <xdr:rowOff>99060</xdr:rowOff>
    </xdr:to>
    <xdr:sp macro="" textlink="">
      <xdr:nvSpPr>
        <xdr:cNvPr id="27" name="Rectangle: Rounded Corners 26">
          <a:extLst>
            <a:ext uri="{FF2B5EF4-FFF2-40B4-BE49-F238E27FC236}">
              <a16:creationId xmlns:a16="http://schemas.microsoft.com/office/drawing/2014/main" id="{B653D0FF-2B31-4D4A-835B-010B46D7C0FC}"/>
            </a:ext>
          </a:extLst>
        </xdr:cNvPr>
        <xdr:cNvSpPr/>
      </xdr:nvSpPr>
      <xdr:spPr>
        <a:xfrm>
          <a:off x="6263640" y="3726180"/>
          <a:ext cx="144780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Sale By Region</a:t>
          </a:r>
        </a:p>
      </xdr:txBody>
    </xdr:sp>
    <xdr:clientData/>
  </xdr:twoCellAnchor>
  <xdr:twoCellAnchor>
    <xdr:from>
      <xdr:col>0</xdr:col>
      <xdr:colOff>106680</xdr:colOff>
      <xdr:row>5</xdr:row>
      <xdr:rowOff>167640</xdr:rowOff>
    </xdr:from>
    <xdr:to>
      <xdr:col>1</xdr:col>
      <xdr:colOff>632460</xdr:colOff>
      <xdr:row>7</xdr:row>
      <xdr:rowOff>137160</xdr:rowOff>
    </xdr:to>
    <xdr:sp macro="" textlink="">
      <xdr:nvSpPr>
        <xdr:cNvPr id="28" name="Rectangle: Rounded Corners 27">
          <a:hlinkClick xmlns:r="http://schemas.openxmlformats.org/officeDocument/2006/relationships" r:id="rId7"/>
          <a:extLst>
            <a:ext uri="{FF2B5EF4-FFF2-40B4-BE49-F238E27FC236}">
              <a16:creationId xmlns:a16="http://schemas.microsoft.com/office/drawing/2014/main" id="{6B83E7A0-4708-4BAD-897B-F124CF560349}"/>
            </a:ext>
          </a:extLst>
        </xdr:cNvPr>
        <xdr:cNvSpPr/>
      </xdr:nvSpPr>
      <xdr:spPr>
        <a:xfrm>
          <a:off x="106680" y="1310640"/>
          <a:ext cx="1318260" cy="426720"/>
        </a:xfrm>
        <a:prstGeom prst="roundRect">
          <a:avLst>
            <a:gd name="adj" fmla="val 291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500" b="1">
              <a:solidFill>
                <a:schemeClr val="tx1"/>
              </a:solidFill>
              <a:latin typeface="+mn-lt"/>
            </a:rPr>
            <a:t>DASHBOARD</a:t>
          </a:r>
        </a:p>
      </xdr:txBody>
    </xdr:sp>
    <xdr:clientData/>
  </xdr:twoCellAnchor>
  <xdr:twoCellAnchor>
    <xdr:from>
      <xdr:col>0</xdr:col>
      <xdr:colOff>106680</xdr:colOff>
      <xdr:row>8</xdr:row>
      <xdr:rowOff>213360</xdr:rowOff>
    </xdr:from>
    <xdr:to>
      <xdr:col>1</xdr:col>
      <xdr:colOff>632460</xdr:colOff>
      <xdr:row>10</xdr:row>
      <xdr:rowOff>182880</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2A28E807-AE9D-4A80-9F58-9712988556EB}"/>
            </a:ext>
          </a:extLst>
        </xdr:cNvPr>
        <xdr:cNvSpPr/>
      </xdr:nvSpPr>
      <xdr:spPr>
        <a:xfrm>
          <a:off x="106680" y="2042160"/>
          <a:ext cx="1318260" cy="42672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PRODUCTS</a:t>
          </a:r>
        </a:p>
      </xdr:txBody>
    </xdr:sp>
    <xdr:clientData/>
  </xdr:twoCellAnchor>
  <xdr:twoCellAnchor>
    <xdr:from>
      <xdr:col>0</xdr:col>
      <xdr:colOff>106680</xdr:colOff>
      <xdr:row>11</xdr:row>
      <xdr:rowOff>175260</xdr:rowOff>
    </xdr:from>
    <xdr:to>
      <xdr:col>1</xdr:col>
      <xdr:colOff>632460</xdr:colOff>
      <xdr:row>13</xdr:row>
      <xdr:rowOff>160020</xdr:rowOff>
    </xdr:to>
    <xdr:sp macro="" textlink="">
      <xdr:nvSpPr>
        <xdr:cNvPr id="45" name="Rectangle: Rounded Corners 44">
          <a:hlinkClick xmlns:r="http://schemas.openxmlformats.org/officeDocument/2006/relationships" r:id="rId9"/>
          <a:extLst>
            <a:ext uri="{FF2B5EF4-FFF2-40B4-BE49-F238E27FC236}">
              <a16:creationId xmlns:a16="http://schemas.microsoft.com/office/drawing/2014/main" id="{30F2D716-4F6F-3EAA-238C-A27EEBB8288D}"/>
            </a:ext>
          </a:extLst>
        </xdr:cNvPr>
        <xdr:cNvSpPr/>
      </xdr:nvSpPr>
      <xdr:spPr>
        <a:xfrm>
          <a:off x="106680" y="2689860"/>
          <a:ext cx="1318260" cy="44196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SALESMAN</a:t>
          </a:r>
        </a:p>
      </xdr:txBody>
    </xdr:sp>
    <xdr:clientData/>
  </xdr:twoCellAnchor>
  <xdr:twoCellAnchor>
    <xdr:from>
      <xdr:col>0</xdr:col>
      <xdr:colOff>83820</xdr:colOff>
      <xdr:row>14</xdr:row>
      <xdr:rowOff>160020</xdr:rowOff>
    </xdr:from>
    <xdr:to>
      <xdr:col>1</xdr:col>
      <xdr:colOff>609600</xdr:colOff>
      <xdr:row>16</xdr:row>
      <xdr:rowOff>152400</xdr:rowOff>
    </xdr:to>
    <xdr:sp macro="" textlink="">
      <xdr:nvSpPr>
        <xdr:cNvPr id="46" name="Rectangle: Rounded Corners 45">
          <a:hlinkClick xmlns:r="http://schemas.openxmlformats.org/officeDocument/2006/relationships" r:id="rId10"/>
          <a:extLst>
            <a:ext uri="{FF2B5EF4-FFF2-40B4-BE49-F238E27FC236}">
              <a16:creationId xmlns:a16="http://schemas.microsoft.com/office/drawing/2014/main" id="{05110281-5532-1453-030E-68CCCB5C7277}"/>
            </a:ext>
          </a:extLst>
        </xdr:cNvPr>
        <xdr:cNvSpPr/>
      </xdr:nvSpPr>
      <xdr:spPr>
        <a:xfrm>
          <a:off x="83820" y="3360420"/>
          <a:ext cx="1318260" cy="44958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ABOUT</a:t>
          </a:r>
        </a:p>
      </xdr:txBody>
    </xdr:sp>
    <xdr:clientData/>
  </xdr:twoCellAnchor>
  <xdr:twoCellAnchor>
    <xdr:from>
      <xdr:col>7</xdr:col>
      <xdr:colOff>739140</xdr:colOff>
      <xdr:row>11</xdr:row>
      <xdr:rowOff>76200</xdr:rowOff>
    </xdr:from>
    <xdr:to>
      <xdr:col>13</xdr:col>
      <xdr:colOff>563880</xdr:colOff>
      <xdr:row>15</xdr:row>
      <xdr:rowOff>160020</xdr:rowOff>
    </xdr:to>
    <xdr:graphicFrame macro="">
      <xdr:nvGraphicFramePr>
        <xdr:cNvPr id="48" name="Chart 47">
          <a:extLst>
            <a:ext uri="{FF2B5EF4-FFF2-40B4-BE49-F238E27FC236}">
              <a16:creationId xmlns:a16="http://schemas.microsoft.com/office/drawing/2014/main" id="{82ED3C17-B7A0-4819-BBA6-23C243744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762000</xdr:colOff>
      <xdr:row>17</xdr:row>
      <xdr:rowOff>121920</xdr:rowOff>
    </xdr:from>
    <xdr:to>
      <xdr:col>13</xdr:col>
      <xdr:colOff>419100</xdr:colOff>
      <xdr:row>21</xdr:row>
      <xdr:rowOff>182880</xdr:rowOff>
    </xdr:to>
    <xdr:graphicFrame macro="">
      <xdr:nvGraphicFramePr>
        <xdr:cNvPr id="49" name="Chart 48">
          <a:extLst>
            <a:ext uri="{FF2B5EF4-FFF2-40B4-BE49-F238E27FC236}">
              <a16:creationId xmlns:a16="http://schemas.microsoft.com/office/drawing/2014/main" id="{546794C2-59DB-443C-B871-B52559AA3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746760</xdr:colOff>
      <xdr:row>13</xdr:row>
      <xdr:rowOff>38100</xdr:rowOff>
    </xdr:from>
    <xdr:to>
      <xdr:col>3</xdr:col>
      <xdr:colOff>594360</xdr:colOff>
      <xdr:row>14</xdr:row>
      <xdr:rowOff>83820</xdr:rowOff>
    </xdr:to>
    <xdr:sp macro="" textlink="">
      <xdr:nvSpPr>
        <xdr:cNvPr id="50" name="Rectangle: Rounded Corners 49">
          <a:extLst>
            <a:ext uri="{FF2B5EF4-FFF2-40B4-BE49-F238E27FC236}">
              <a16:creationId xmlns:a16="http://schemas.microsoft.com/office/drawing/2014/main" id="{B35980DD-11B2-426C-B3B7-6ACCA27AEB2E}"/>
            </a:ext>
          </a:extLst>
        </xdr:cNvPr>
        <xdr:cNvSpPr/>
      </xdr:nvSpPr>
      <xdr:spPr>
        <a:xfrm>
          <a:off x="1539240" y="3009900"/>
          <a:ext cx="143256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Sale</a:t>
          </a:r>
          <a:r>
            <a:rPr lang="en-IN" sz="1400" b="1" baseline="0">
              <a:solidFill>
                <a:schemeClr val="tx1"/>
              </a:solidFill>
              <a:latin typeface="+mn-lt"/>
            </a:rPr>
            <a:t> By Products</a:t>
          </a:r>
          <a:endParaRPr lang="en-IN" sz="1400" b="1">
            <a:solidFill>
              <a:schemeClr val="tx1"/>
            </a:solidFill>
            <a:latin typeface="+mn-lt"/>
          </a:endParaRPr>
        </a:p>
      </xdr:txBody>
    </xdr:sp>
    <xdr:clientData/>
  </xdr:twoCellAnchor>
  <xdr:twoCellAnchor>
    <xdr:from>
      <xdr:col>1</xdr:col>
      <xdr:colOff>777240</xdr:colOff>
      <xdr:row>14</xdr:row>
      <xdr:rowOff>83820</xdr:rowOff>
    </xdr:from>
    <xdr:to>
      <xdr:col>7</xdr:col>
      <xdr:colOff>609600</xdr:colOff>
      <xdr:row>21</xdr:row>
      <xdr:rowOff>198120</xdr:rowOff>
    </xdr:to>
    <xdr:graphicFrame macro="">
      <xdr:nvGraphicFramePr>
        <xdr:cNvPr id="51" name="Chart 50">
          <a:extLst>
            <a:ext uri="{FF2B5EF4-FFF2-40B4-BE49-F238E27FC236}">
              <a16:creationId xmlns:a16="http://schemas.microsoft.com/office/drawing/2014/main" id="{0139A4EE-DAC6-4DB3-AD43-BF2B6F7A9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693420</xdr:colOff>
      <xdr:row>11</xdr:row>
      <xdr:rowOff>30480</xdr:rowOff>
    </xdr:from>
    <xdr:to>
      <xdr:col>4</xdr:col>
      <xdr:colOff>518160</xdr:colOff>
      <xdr:row>12</xdr:row>
      <xdr:rowOff>106680</xdr:rowOff>
    </xdr:to>
    <xdr:sp macro="" textlink="'Pivot Table'!B20">
      <xdr:nvSpPr>
        <xdr:cNvPr id="52" name="Rectangle: Rounded Corners 51">
          <a:extLst>
            <a:ext uri="{FF2B5EF4-FFF2-40B4-BE49-F238E27FC236}">
              <a16:creationId xmlns:a16="http://schemas.microsoft.com/office/drawing/2014/main" id="{47FE943A-CCFC-4535-8013-550B231146B4}"/>
            </a:ext>
          </a:extLst>
        </xdr:cNvPr>
        <xdr:cNvSpPr/>
      </xdr:nvSpPr>
      <xdr:spPr>
        <a:xfrm>
          <a:off x="2278380" y="2545080"/>
          <a:ext cx="140970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FBEFF9-0B15-4D75-AE98-00CE2994D434}" type="TxLink">
            <a:rPr lang="en-US" sz="1600" b="1" i="0" u="none" strike="noStrike">
              <a:solidFill>
                <a:srgbClr val="000000"/>
              </a:solidFill>
              <a:latin typeface="Calibri"/>
              <a:ea typeface="Calibri"/>
              <a:cs typeface="Calibri"/>
            </a:rPr>
            <a:t> 1,782,570 </a:t>
          </a:fld>
          <a:endParaRPr lang="en-IN" sz="1600" b="1">
            <a:solidFill>
              <a:schemeClr val="tx1"/>
            </a:solidFill>
            <a:latin typeface="+mn-lt"/>
          </a:endParaRPr>
        </a:p>
      </xdr:txBody>
    </xdr:sp>
    <xdr:clientData/>
  </xdr:twoCellAnchor>
  <xdr:twoCellAnchor>
    <xdr:from>
      <xdr:col>6</xdr:col>
      <xdr:colOff>266700</xdr:colOff>
      <xdr:row>11</xdr:row>
      <xdr:rowOff>60960</xdr:rowOff>
    </xdr:from>
    <xdr:to>
      <xdr:col>7</xdr:col>
      <xdr:colOff>449580</xdr:colOff>
      <xdr:row>12</xdr:row>
      <xdr:rowOff>137160</xdr:rowOff>
    </xdr:to>
    <xdr:sp macro="" textlink="'Pivot Table'!B25">
      <xdr:nvSpPr>
        <xdr:cNvPr id="53" name="Rectangle: Rounded Corners 52">
          <a:extLst>
            <a:ext uri="{FF2B5EF4-FFF2-40B4-BE49-F238E27FC236}">
              <a16:creationId xmlns:a16="http://schemas.microsoft.com/office/drawing/2014/main" id="{AA427C4E-6D36-4424-8F89-37DA2DED4F23}"/>
            </a:ext>
          </a:extLst>
        </xdr:cNvPr>
        <xdr:cNvSpPr/>
      </xdr:nvSpPr>
      <xdr:spPr>
        <a:xfrm>
          <a:off x="5021580" y="2575560"/>
          <a:ext cx="97536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C3E0425-DFFD-4A53-9C63-1228E3DB2C42}" type="TxLink">
            <a:rPr lang="en-US" sz="1600" b="1" i="0" u="none" strike="noStrike">
              <a:solidFill>
                <a:srgbClr val="000000"/>
              </a:solidFill>
              <a:latin typeface="Calibri"/>
              <a:ea typeface="Calibri"/>
              <a:cs typeface="Calibri"/>
            </a:rPr>
            <a:t>366</a:t>
          </a:fld>
          <a:endParaRPr lang="en-IN" sz="1600" b="1">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13</xdr:col>
      <xdr:colOff>777240</xdr:colOff>
      <xdr:row>22</xdr:row>
      <xdr:rowOff>83820</xdr:rowOff>
    </xdr:to>
    <xdr:sp macro="" textlink="">
      <xdr:nvSpPr>
        <xdr:cNvPr id="2" name="Rectangle: Rounded Corners 1">
          <a:extLst>
            <a:ext uri="{FF2B5EF4-FFF2-40B4-BE49-F238E27FC236}">
              <a16:creationId xmlns:a16="http://schemas.microsoft.com/office/drawing/2014/main" id="{5CE08821-486E-4FA5-A25A-AC95253CF0DF}"/>
            </a:ext>
          </a:extLst>
        </xdr:cNvPr>
        <xdr:cNvSpPr/>
      </xdr:nvSpPr>
      <xdr:spPr>
        <a:xfrm>
          <a:off x="68580" y="68580"/>
          <a:ext cx="11010900" cy="5044440"/>
        </a:xfrm>
        <a:prstGeom prst="roundRect">
          <a:avLst>
            <a:gd name="adj" fmla="val 30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647700</xdr:colOff>
      <xdr:row>0</xdr:row>
      <xdr:rowOff>121920</xdr:rowOff>
    </xdr:from>
    <xdr:to>
      <xdr:col>13</xdr:col>
      <xdr:colOff>723900</xdr:colOff>
      <xdr:row>22</xdr:row>
      <xdr:rowOff>45720</xdr:rowOff>
    </xdr:to>
    <xdr:sp macro="" textlink="">
      <xdr:nvSpPr>
        <xdr:cNvPr id="3" name="Rectangle: Rounded Corners 2">
          <a:extLst>
            <a:ext uri="{FF2B5EF4-FFF2-40B4-BE49-F238E27FC236}">
              <a16:creationId xmlns:a16="http://schemas.microsoft.com/office/drawing/2014/main" id="{FB84E89A-C9AE-4C6C-8256-B659393E00A2}"/>
            </a:ext>
          </a:extLst>
        </xdr:cNvPr>
        <xdr:cNvSpPr/>
      </xdr:nvSpPr>
      <xdr:spPr>
        <a:xfrm>
          <a:off x="1440180" y="121920"/>
          <a:ext cx="9585960" cy="4953000"/>
        </a:xfrm>
        <a:prstGeom prst="roundRect">
          <a:avLst>
            <a:gd name="adj" fmla="val 303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708660</xdr:colOff>
      <xdr:row>0</xdr:row>
      <xdr:rowOff>160020</xdr:rowOff>
    </xdr:from>
    <xdr:to>
      <xdr:col>10</xdr:col>
      <xdr:colOff>419100</xdr:colOff>
      <xdr:row>4</xdr:row>
      <xdr:rowOff>167640</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29584364-4279-41E7-AB61-27FCCC547260}"/>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501140" y="160020"/>
              <a:ext cx="68427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464820</xdr:colOff>
      <xdr:row>0</xdr:row>
      <xdr:rowOff>152400</xdr:rowOff>
    </xdr:from>
    <xdr:to>
      <xdr:col>13</xdr:col>
      <xdr:colOff>640080</xdr:colOff>
      <xdr:row>4</xdr:row>
      <xdr:rowOff>152399</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C6751A7C-F288-420D-8C89-7F8EE3F1F5E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389620" y="152400"/>
              <a:ext cx="25527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723900</xdr:colOff>
      <xdr:row>4</xdr:row>
      <xdr:rowOff>198121</xdr:rowOff>
    </xdr:from>
    <xdr:to>
      <xdr:col>13</xdr:col>
      <xdr:colOff>655320</xdr:colOff>
      <xdr:row>7</xdr:row>
      <xdr:rowOff>175260</xdr:rowOff>
    </xdr:to>
    <mc:AlternateContent xmlns:mc="http://schemas.openxmlformats.org/markup-compatibility/2006">
      <mc:Choice xmlns:a14="http://schemas.microsoft.com/office/drawing/2010/main" Requires="a14">
        <xdr:graphicFrame macro="">
          <xdr:nvGraphicFramePr>
            <xdr:cNvPr id="6" name="Item 2">
              <a:extLst>
                <a:ext uri="{FF2B5EF4-FFF2-40B4-BE49-F238E27FC236}">
                  <a16:creationId xmlns:a16="http://schemas.microsoft.com/office/drawing/2014/main" id="{183F00B6-0373-4EFA-9E8D-8BB8C2CAEF2D}"/>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dr:sp macro="" textlink="">
          <xdr:nvSpPr>
            <xdr:cNvPr id="0" name=""/>
            <xdr:cNvSpPr>
              <a:spLocks noTextEdit="1"/>
            </xdr:cNvSpPr>
          </xdr:nvSpPr>
          <xdr:spPr>
            <a:xfrm>
              <a:off x="1516380" y="1112521"/>
              <a:ext cx="944118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678180</xdr:colOff>
      <xdr:row>7</xdr:row>
      <xdr:rowOff>175260</xdr:rowOff>
    </xdr:from>
    <xdr:to>
      <xdr:col>2</xdr:col>
      <xdr:colOff>381000</xdr:colOff>
      <xdr:row>9</xdr:row>
      <xdr:rowOff>213360</xdr:rowOff>
    </xdr:to>
    <xdr:pic>
      <xdr:nvPicPr>
        <xdr:cNvPr id="7" name="Graphic 6" descr="Bar graph with upward trend RTL">
          <a:extLst>
            <a:ext uri="{FF2B5EF4-FFF2-40B4-BE49-F238E27FC236}">
              <a16:creationId xmlns:a16="http://schemas.microsoft.com/office/drawing/2014/main" id="{3A89180D-E84D-4382-B1CE-72E609186E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70660" y="1775460"/>
          <a:ext cx="495300" cy="495300"/>
        </a:xfrm>
        <a:prstGeom prst="rect">
          <a:avLst/>
        </a:prstGeom>
      </xdr:spPr>
    </xdr:pic>
    <xdr:clientData/>
  </xdr:twoCellAnchor>
  <xdr:twoCellAnchor>
    <xdr:from>
      <xdr:col>2</xdr:col>
      <xdr:colOff>266700</xdr:colOff>
      <xdr:row>8</xdr:row>
      <xdr:rowOff>38100</xdr:rowOff>
    </xdr:from>
    <xdr:to>
      <xdr:col>3</xdr:col>
      <xdr:colOff>746760</xdr:colOff>
      <xdr:row>9</xdr:row>
      <xdr:rowOff>190500</xdr:rowOff>
    </xdr:to>
    <xdr:sp macro="" textlink="">
      <xdr:nvSpPr>
        <xdr:cNvPr id="8" name="Rectangle: Rounded Corners 7">
          <a:extLst>
            <a:ext uri="{FF2B5EF4-FFF2-40B4-BE49-F238E27FC236}">
              <a16:creationId xmlns:a16="http://schemas.microsoft.com/office/drawing/2014/main" id="{B96865FB-D483-4605-B3C9-6045293EA121}"/>
            </a:ext>
          </a:extLst>
        </xdr:cNvPr>
        <xdr:cNvSpPr/>
      </xdr:nvSpPr>
      <xdr:spPr>
        <a:xfrm>
          <a:off x="1851660" y="1866900"/>
          <a:ext cx="127254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mn-lt"/>
            </a:rPr>
            <a:t>ANALYTICS</a:t>
          </a:r>
        </a:p>
      </xdr:txBody>
    </xdr:sp>
    <xdr:clientData/>
  </xdr:twoCellAnchor>
  <xdr:twoCellAnchor>
    <xdr:from>
      <xdr:col>1</xdr:col>
      <xdr:colOff>746760</xdr:colOff>
      <xdr:row>10</xdr:row>
      <xdr:rowOff>45720</xdr:rowOff>
    </xdr:from>
    <xdr:to>
      <xdr:col>7</xdr:col>
      <xdr:colOff>624840</xdr:colOff>
      <xdr:row>21</xdr:row>
      <xdr:rowOff>220980</xdr:rowOff>
    </xdr:to>
    <xdr:sp macro="" textlink="">
      <xdr:nvSpPr>
        <xdr:cNvPr id="9" name="Rectangle 8">
          <a:extLst>
            <a:ext uri="{FF2B5EF4-FFF2-40B4-BE49-F238E27FC236}">
              <a16:creationId xmlns:a16="http://schemas.microsoft.com/office/drawing/2014/main" id="{7FC41724-B7AA-4F5E-8B2D-E011E0FEED08}"/>
            </a:ext>
          </a:extLst>
        </xdr:cNvPr>
        <xdr:cNvSpPr/>
      </xdr:nvSpPr>
      <xdr:spPr>
        <a:xfrm>
          <a:off x="1539240" y="2331720"/>
          <a:ext cx="4632960" cy="26898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7</xdr:col>
      <xdr:colOff>716280</xdr:colOff>
      <xdr:row>10</xdr:row>
      <xdr:rowOff>45720</xdr:rowOff>
    </xdr:from>
    <xdr:to>
      <xdr:col>13</xdr:col>
      <xdr:colOff>594360</xdr:colOff>
      <xdr:row>15</xdr:row>
      <xdr:rowOff>205740</xdr:rowOff>
    </xdr:to>
    <xdr:sp macro="" textlink="">
      <xdr:nvSpPr>
        <xdr:cNvPr id="10" name="Rectangle 9">
          <a:extLst>
            <a:ext uri="{FF2B5EF4-FFF2-40B4-BE49-F238E27FC236}">
              <a16:creationId xmlns:a16="http://schemas.microsoft.com/office/drawing/2014/main" id="{A19B5642-18D4-4C79-A500-BFAF49D7F665}"/>
            </a:ext>
          </a:extLst>
        </xdr:cNvPr>
        <xdr:cNvSpPr/>
      </xdr:nvSpPr>
      <xdr:spPr>
        <a:xfrm>
          <a:off x="6263640" y="2331720"/>
          <a:ext cx="4632960" cy="130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716280</xdr:colOff>
      <xdr:row>16</xdr:row>
      <xdr:rowOff>68580</xdr:rowOff>
    </xdr:from>
    <xdr:to>
      <xdr:col>13</xdr:col>
      <xdr:colOff>594360</xdr:colOff>
      <xdr:row>22</xdr:row>
      <xdr:rowOff>0</xdr:rowOff>
    </xdr:to>
    <xdr:sp macro="" textlink="">
      <xdr:nvSpPr>
        <xdr:cNvPr id="11" name="Rectangle 10">
          <a:extLst>
            <a:ext uri="{FF2B5EF4-FFF2-40B4-BE49-F238E27FC236}">
              <a16:creationId xmlns:a16="http://schemas.microsoft.com/office/drawing/2014/main" id="{A958EDED-753B-4981-A8E6-AD57F9A832C8}"/>
            </a:ext>
          </a:extLst>
        </xdr:cNvPr>
        <xdr:cNvSpPr/>
      </xdr:nvSpPr>
      <xdr:spPr>
        <a:xfrm>
          <a:off x="6263640" y="3726180"/>
          <a:ext cx="4632960" cy="130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716280</xdr:colOff>
      <xdr:row>10</xdr:row>
      <xdr:rowOff>68580</xdr:rowOff>
    </xdr:from>
    <xdr:to>
      <xdr:col>10</xdr:col>
      <xdr:colOff>220980</xdr:colOff>
      <xdr:row>11</xdr:row>
      <xdr:rowOff>144780</xdr:rowOff>
    </xdr:to>
    <xdr:sp macro="" textlink="">
      <xdr:nvSpPr>
        <xdr:cNvPr id="20" name="Rectangle: Rounded Corners 19">
          <a:extLst>
            <a:ext uri="{FF2B5EF4-FFF2-40B4-BE49-F238E27FC236}">
              <a16:creationId xmlns:a16="http://schemas.microsoft.com/office/drawing/2014/main" id="{DF444748-78EF-4603-9330-2EF9C32C30D1}"/>
            </a:ext>
          </a:extLst>
        </xdr:cNvPr>
        <xdr:cNvSpPr/>
      </xdr:nvSpPr>
      <xdr:spPr>
        <a:xfrm>
          <a:off x="6263640" y="2354580"/>
          <a:ext cx="188214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Top 3 Selling Products</a:t>
          </a:r>
        </a:p>
      </xdr:txBody>
    </xdr:sp>
    <xdr:clientData/>
  </xdr:twoCellAnchor>
  <xdr:twoCellAnchor>
    <xdr:from>
      <xdr:col>7</xdr:col>
      <xdr:colOff>716280</xdr:colOff>
      <xdr:row>16</xdr:row>
      <xdr:rowOff>68580</xdr:rowOff>
    </xdr:from>
    <xdr:to>
      <xdr:col>10</xdr:col>
      <xdr:colOff>487680</xdr:colOff>
      <xdr:row>17</xdr:row>
      <xdr:rowOff>137160</xdr:rowOff>
    </xdr:to>
    <xdr:sp macro="" textlink="">
      <xdr:nvSpPr>
        <xdr:cNvPr id="21" name="Rectangle: Rounded Corners 20">
          <a:extLst>
            <a:ext uri="{FF2B5EF4-FFF2-40B4-BE49-F238E27FC236}">
              <a16:creationId xmlns:a16="http://schemas.microsoft.com/office/drawing/2014/main" id="{33E371DB-63EA-43A8-964C-A697FD478369}"/>
            </a:ext>
          </a:extLst>
        </xdr:cNvPr>
        <xdr:cNvSpPr/>
      </xdr:nvSpPr>
      <xdr:spPr>
        <a:xfrm>
          <a:off x="6263640" y="3726180"/>
          <a:ext cx="214884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Bottom 3 Selling Products</a:t>
          </a:r>
        </a:p>
      </xdr:txBody>
    </xdr:sp>
    <xdr:clientData/>
  </xdr:twoCellAnchor>
  <xdr:twoCellAnchor>
    <xdr:from>
      <xdr:col>0</xdr:col>
      <xdr:colOff>106680</xdr:colOff>
      <xdr:row>5</xdr:row>
      <xdr:rowOff>167640</xdr:rowOff>
    </xdr:from>
    <xdr:to>
      <xdr:col>1</xdr:col>
      <xdr:colOff>632460</xdr:colOff>
      <xdr:row>7</xdr:row>
      <xdr:rowOff>137160</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12C72C01-1ED2-4BE6-9BB6-CFB2A385E054}"/>
            </a:ext>
          </a:extLst>
        </xdr:cNvPr>
        <xdr:cNvSpPr/>
      </xdr:nvSpPr>
      <xdr:spPr>
        <a:xfrm>
          <a:off x="106680" y="1310640"/>
          <a:ext cx="1318260" cy="42672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500" b="1">
              <a:solidFill>
                <a:schemeClr val="tx1"/>
              </a:solidFill>
              <a:latin typeface="+mn-lt"/>
            </a:rPr>
            <a:t>DASHBOARD</a:t>
          </a:r>
        </a:p>
      </xdr:txBody>
    </xdr:sp>
    <xdr:clientData/>
  </xdr:twoCellAnchor>
  <xdr:twoCellAnchor>
    <xdr:from>
      <xdr:col>0</xdr:col>
      <xdr:colOff>106680</xdr:colOff>
      <xdr:row>8</xdr:row>
      <xdr:rowOff>213360</xdr:rowOff>
    </xdr:from>
    <xdr:to>
      <xdr:col>1</xdr:col>
      <xdr:colOff>632460</xdr:colOff>
      <xdr:row>10</xdr:row>
      <xdr:rowOff>182880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46C1D076-1DC0-439F-92E1-0AA670D5D459}"/>
            </a:ext>
          </a:extLst>
        </xdr:cNvPr>
        <xdr:cNvSpPr/>
      </xdr:nvSpPr>
      <xdr:spPr>
        <a:xfrm>
          <a:off x="106680" y="2042160"/>
          <a:ext cx="1318260" cy="426720"/>
        </a:xfrm>
        <a:prstGeom prst="roundRect">
          <a:avLst>
            <a:gd name="adj" fmla="val 29167"/>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accent5">
                  <a:lumMod val="75000"/>
                </a:schemeClr>
              </a:solidFill>
              <a:latin typeface="+mn-lt"/>
            </a:rPr>
            <a:t>PRODUCTS</a:t>
          </a:r>
        </a:p>
      </xdr:txBody>
    </xdr:sp>
    <xdr:clientData/>
  </xdr:twoCellAnchor>
  <xdr:twoCellAnchor>
    <xdr:from>
      <xdr:col>0</xdr:col>
      <xdr:colOff>106680</xdr:colOff>
      <xdr:row>11</xdr:row>
      <xdr:rowOff>175260</xdr:rowOff>
    </xdr:from>
    <xdr:to>
      <xdr:col>1</xdr:col>
      <xdr:colOff>632460</xdr:colOff>
      <xdr:row>13</xdr:row>
      <xdr:rowOff>160020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352EF7FE-F966-4581-A8C1-781361639B39}"/>
            </a:ext>
          </a:extLst>
        </xdr:cNvPr>
        <xdr:cNvSpPr/>
      </xdr:nvSpPr>
      <xdr:spPr>
        <a:xfrm>
          <a:off x="106680" y="2689860"/>
          <a:ext cx="1318260" cy="44196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SALESMAN</a:t>
          </a:r>
        </a:p>
      </xdr:txBody>
    </xdr:sp>
    <xdr:clientData/>
  </xdr:twoCellAnchor>
  <xdr:twoCellAnchor>
    <xdr:from>
      <xdr:col>0</xdr:col>
      <xdr:colOff>83820</xdr:colOff>
      <xdr:row>14</xdr:row>
      <xdr:rowOff>160020</xdr:rowOff>
    </xdr:from>
    <xdr:to>
      <xdr:col>1</xdr:col>
      <xdr:colOff>609600</xdr:colOff>
      <xdr:row>16</xdr:row>
      <xdr:rowOff>152400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69169E6C-CF3F-40C8-83A6-90722A9B4B16}"/>
            </a:ext>
          </a:extLst>
        </xdr:cNvPr>
        <xdr:cNvSpPr/>
      </xdr:nvSpPr>
      <xdr:spPr>
        <a:xfrm>
          <a:off x="83820" y="3360420"/>
          <a:ext cx="1318260" cy="44958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ABOUT</a:t>
          </a:r>
        </a:p>
      </xdr:txBody>
    </xdr:sp>
    <xdr:clientData/>
  </xdr:twoCellAnchor>
  <xdr:twoCellAnchor>
    <xdr:from>
      <xdr:col>1</xdr:col>
      <xdr:colOff>678180</xdr:colOff>
      <xdr:row>9</xdr:row>
      <xdr:rowOff>213360</xdr:rowOff>
    </xdr:from>
    <xdr:to>
      <xdr:col>3</xdr:col>
      <xdr:colOff>525780</xdr:colOff>
      <xdr:row>11</xdr:row>
      <xdr:rowOff>30480</xdr:rowOff>
    </xdr:to>
    <xdr:sp macro="" textlink="">
      <xdr:nvSpPr>
        <xdr:cNvPr id="28" name="Rectangle: Rounded Corners 27">
          <a:extLst>
            <a:ext uri="{FF2B5EF4-FFF2-40B4-BE49-F238E27FC236}">
              <a16:creationId xmlns:a16="http://schemas.microsoft.com/office/drawing/2014/main" id="{0A30995F-8B58-4A85-BF4C-D27475F05316}"/>
            </a:ext>
          </a:extLst>
        </xdr:cNvPr>
        <xdr:cNvSpPr/>
      </xdr:nvSpPr>
      <xdr:spPr>
        <a:xfrm>
          <a:off x="1470660" y="2270760"/>
          <a:ext cx="143256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Sale</a:t>
          </a:r>
          <a:r>
            <a:rPr lang="en-IN" sz="1400" b="1" baseline="0">
              <a:solidFill>
                <a:schemeClr val="tx1"/>
              </a:solidFill>
              <a:latin typeface="+mn-lt"/>
            </a:rPr>
            <a:t> By Products</a:t>
          </a:r>
          <a:endParaRPr lang="en-IN" sz="1400" b="1">
            <a:solidFill>
              <a:schemeClr val="tx1"/>
            </a:solidFill>
            <a:latin typeface="+mn-lt"/>
          </a:endParaRPr>
        </a:p>
      </xdr:txBody>
    </xdr:sp>
    <xdr:clientData/>
  </xdr:twoCellAnchor>
  <xdr:twoCellAnchor>
    <xdr:from>
      <xdr:col>7</xdr:col>
      <xdr:colOff>746760</xdr:colOff>
      <xdr:row>11</xdr:row>
      <xdr:rowOff>137160</xdr:rowOff>
    </xdr:from>
    <xdr:to>
      <xdr:col>13</xdr:col>
      <xdr:colOff>541020</xdr:colOff>
      <xdr:row>15</xdr:row>
      <xdr:rowOff>190500</xdr:rowOff>
    </xdr:to>
    <xdr:graphicFrame macro="">
      <xdr:nvGraphicFramePr>
        <xdr:cNvPr id="32" name="Chart 31">
          <a:extLst>
            <a:ext uri="{FF2B5EF4-FFF2-40B4-BE49-F238E27FC236}">
              <a16:creationId xmlns:a16="http://schemas.microsoft.com/office/drawing/2014/main" id="{07D17A51-2641-4921-85FC-F4DB0F280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769620</xdr:colOff>
      <xdr:row>17</xdr:row>
      <xdr:rowOff>129541</xdr:rowOff>
    </xdr:from>
    <xdr:to>
      <xdr:col>13</xdr:col>
      <xdr:colOff>563880</xdr:colOff>
      <xdr:row>21</xdr:row>
      <xdr:rowOff>205741</xdr:rowOff>
    </xdr:to>
    <xdr:graphicFrame macro="">
      <xdr:nvGraphicFramePr>
        <xdr:cNvPr id="33" name="Chart 32">
          <a:extLst>
            <a:ext uri="{FF2B5EF4-FFF2-40B4-BE49-F238E27FC236}">
              <a16:creationId xmlns:a16="http://schemas.microsoft.com/office/drawing/2014/main" id="{658CC59C-D1F3-4ADC-A9A6-ECAD0E32A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777240</xdr:colOff>
      <xdr:row>11</xdr:row>
      <xdr:rowOff>30480</xdr:rowOff>
    </xdr:from>
    <xdr:to>
      <xdr:col>7</xdr:col>
      <xdr:colOff>579120</xdr:colOff>
      <xdr:row>21</xdr:row>
      <xdr:rowOff>198120</xdr:rowOff>
    </xdr:to>
    <xdr:graphicFrame macro="">
      <xdr:nvGraphicFramePr>
        <xdr:cNvPr id="34" name="Chart 33">
          <a:extLst>
            <a:ext uri="{FF2B5EF4-FFF2-40B4-BE49-F238E27FC236}">
              <a16:creationId xmlns:a16="http://schemas.microsoft.com/office/drawing/2014/main" id="{949CB580-25A1-43D8-A869-8FB693139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13</xdr:col>
      <xdr:colOff>777240</xdr:colOff>
      <xdr:row>22</xdr:row>
      <xdr:rowOff>83820</xdr:rowOff>
    </xdr:to>
    <xdr:sp macro="" textlink="">
      <xdr:nvSpPr>
        <xdr:cNvPr id="2" name="Rectangle: Rounded Corners 1">
          <a:extLst>
            <a:ext uri="{FF2B5EF4-FFF2-40B4-BE49-F238E27FC236}">
              <a16:creationId xmlns:a16="http://schemas.microsoft.com/office/drawing/2014/main" id="{B8A4520F-ABDB-4F1E-A5FF-AF6661316415}"/>
            </a:ext>
          </a:extLst>
        </xdr:cNvPr>
        <xdr:cNvSpPr/>
      </xdr:nvSpPr>
      <xdr:spPr>
        <a:xfrm>
          <a:off x="68580" y="68580"/>
          <a:ext cx="11010900" cy="5044440"/>
        </a:xfrm>
        <a:prstGeom prst="roundRect">
          <a:avLst>
            <a:gd name="adj" fmla="val 30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670560</xdr:colOff>
      <xdr:row>0</xdr:row>
      <xdr:rowOff>99060</xdr:rowOff>
    </xdr:from>
    <xdr:to>
      <xdr:col>13</xdr:col>
      <xdr:colOff>746760</xdr:colOff>
      <xdr:row>22</xdr:row>
      <xdr:rowOff>22860</xdr:rowOff>
    </xdr:to>
    <xdr:sp macro="" textlink="">
      <xdr:nvSpPr>
        <xdr:cNvPr id="3" name="Rectangle: Rounded Corners 2">
          <a:extLst>
            <a:ext uri="{FF2B5EF4-FFF2-40B4-BE49-F238E27FC236}">
              <a16:creationId xmlns:a16="http://schemas.microsoft.com/office/drawing/2014/main" id="{0582B819-09F2-4D3B-AB6F-29DA0EDF270E}"/>
            </a:ext>
          </a:extLst>
        </xdr:cNvPr>
        <xdr:cNvSpPr/>
      </xdr:nvSpPr>
      <xdr:spPr>
        <a:xfrm>
          <a:off x="1463040" y="99060"/>
          <a:ext cx="9585960" cy="4953000"/>
        </a:xfrm>
        <a:prstGeom prst="roundRect">
          <a:avLst>
            <a:gd name="adj" fmla="val 303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708660</xdr:colOff>
      <xdr:row>0</xdr:row>
      <xdr:rowOff>160020</xdr:rowOff>
    </xdr:from>
    <xdr:to>
      <xdr:col>10</xdr:col>
      <xdr:colOff>419100</xdr:colOff>
      <xdr:row>4</xdr:row>
      <xdr:rowOff>167640</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42CD59F2-7016-4CC6-9F06-EDD7DB9AB95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501140" y="160020"/>
              <a:ext cx="68427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464820</xdr:colOff>
      <xdr:row>0</xdr:row>
      <xdr:rowOff>152400</xdr:rowOff>
    </xdr:from>
    <xdr:to>
      <xdr:col>13</xdr:col>
      <xdr:colOff>640080</xdr:colOff>
      <xdr:row>4</xdr:row>
      <xdr:rowOff>152399</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9C798BC8-84C2-4A86-8F4A-474D8F24226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389620" y="152400"/>
              <a:ext cx="25527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723900</xdr:colOff>
      <xdr:row>4</xdr:row>
      <xdr:rowOff>198121</xdr:rowOff>
    </xdr:from>
    <xdr:to>
      <xdr:col>13</xdr:col>
      <xdr:colOff>655320</xdr:colOff>
      <xdr:row>7</xdr:row>
      <xdr:rowOff>175260</xdr:rowOff>
    </xdr:to>
    <mc:AlternateContent xmlns:mc="http://schemas.openxmlformats.org/markup-compatibility/2006">
      <mc:Choice xmlns:a14="http://schemas.microsoft.com/office/drawing/2010/main" Requires="a14">
        <xdr:graphicFrame macro="">
          <xdr:nvGraphicFramePr>
            <xdr:cNvPr id="6" name="Item 3">
              <a:extLst>
                <a:ext uri="{FF2B5EF4-FFF2-40B4-BE49-F238E27FC236}">
                  <a16:creationId xmlns:a16="http://schemas.microsoft.com/office/drawing/2014/main" id="{BFA8D31B-CE55-40BC-8BB6-AC571551B8D5}"/>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1516380" y="1112521"/>
              <a:ext cx="944118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678180</xdr:colOff>
      <xdr:row>7</xdr:row>
      <xdr:rowOff>175260</xdr:rowOff>
    </xdr:from>
    <xdr:to>
      <xdr:col>2</xdr:col>
      <xdr:colOff>381000</xdr:colOff>
      <xdr:row>9</xdr:row>
      <xdr:rowOff>213360</xdr:rowOff>
    </xdr:to>
    <xdr:pic>
      <xdr:nvPicPr>
        <xdr:cNvPr id="7" name="Graphic 6" descr="Bar graph with upward trend RTL">
          <a:extLst>
            <a:ext uri="{FF2B5EF4-FFF2-40B4-BE49-F238E27FC236}">
              <a16:creationId xmlns:a16="http://schemas.microsoft.com/office/drawing/2014/main" id="{E9509D3D-6DDB-4191-9BAB-B3A5607A4F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70660" y="1775460"/>
          <a:ext cx="495300" cy="495300"/>
        </a:xfrm>
        <a:prstGeom prst="rect">
          <a:avLst/>
        </a:prstGeom>
      </xdr:spPr>
    </xdr:pic>
    <xdr:clientData/>
  </xdr:twoCellAnchor>
  <xdr:twoCellAnchor>
    <xdr:from>
      <xdr:col>2</xdr:col>
      <xdr:colOff>266700</xdr:colOff>
      <xdr:row>8</xdr:row>
      <xdr:rowOff>38100</xdr:rowOff>
    </xdr:from>
    <xdr:to>
      <xdr:col>3</xdr:col>
      <xdr:colOff>746760</xdr:colOff>
      <xdr:row>9</xdr:row>
      <xdr:rowOff>190500</xdr:rowOff>
    </xdr:to>
    <xdr:sp macro="" textlink="">
      <xdr:nvSpPr>
        <xdr:cNvPr id="8" name="Rectangle: Rounded Corners 7">
          <a:extLst>
            <a:ext uri="{FF2B5EF4-FFF2-40B4-BE49-F238E27FC236}">
              <a16:creationId xmlns:a16="http://schemas.microsoft.com/office/drawing/2014/main" id="{9ED5692D-F253-49B5-B57A-91E1FCB8CA25}"/>
            </a:ext>
          </a:extLst>
        </xdr:cNvPr>
        <xdr:cNvSpPr/>
      </xdr:nvSpPr>
      <xdr:spPr>
        <a:xfrm>
          <a:off x="1851660" y="1866900"/>
          <a:ext cx="127254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mn-lt"/>
            </a:rPr>
            <a:t>ANALYTICS</a:t>
          </a:r>
        </a:p>
      </xdr:txBody>
    </xdr:sp>
    <xdr:clientData/>
  </xdr:twoCellAnchor>
  <xdr:twoCellAnchor>
    <xdr:from>
      <xdr:col>1</xdr:col>
      <xdr:colOff>746760</xdr:colOff>
      <xdr:row>10</xdr:row>
      <xdr:rowOff>45720</xdr:rowOff>
    </xdr:from>
    <xdr:to>
      <xdr:col>7</xdr:col>
      <xdr:colOff>624840</xdr:colOff>
      <xdr:row>21</xdr:row>
      <xdr:rowOff>220980</xdr:rowOff>
    </xdr:to>
    <xdr:sp macro="" textlink="">
      <xdr:nvSpPr>
        <xdr:cNvPr id="9" name="Rectangle 8">
          <a:extLst>
            <a:ext uri="{FF2B5EF4-FFF2-40B4-BE49-F238E27FC236}">
              <a16:creationId xmlns:a16="http://schemas.microsoft.com/office/drawing/2014/main" id="{67C5A02D-DA3F-4CDB-8A89-5270D281B903}"/>
            </a:ext>
          </a:extLst>
        </xdr:cNvPr>
        <xdr:cNvSpPr/>
      </xdr:nvSpPr>
      <xdr:spPr>
        <a:xfrm>
          <a:off x="1539240" y="2331720"/>
          <a:ext cx="4632960" cy="26898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7</xdr:col>
      <xdr:colOff>716280</xdr:colOff>
      <xdr:row>10</xdr:row>
      <xdr:rowOff>45720</xdr:rowOff>
    </xdr:from>
    <xdr:to>
      <xdr:col>13</xdr:col>
      <xdr:colOff>594360</xdr:colOff>
      <xdr:row>15</xdr:row>
      <xdr:rowOff>205740</xdr:rowOff>
    </xdr:to>
    <xdr:sp macro="" textlink="">
      <xdr:nvSpPr>
        <xdr:cNvPr id="10" name="Rectangle 9">
          <a:extLst>
            <a:ext uri="{FF2B5EF4-FFF2-40B4-BE49-F238E27FC236}">
              <a16:creationId xmlns:a16="http://schemas.microsoft.com/office/drawing/2014/main" id="{7EDDB337-28AC-42B0-BEF4-BC320F6A1CB4}"/>
            </a:ext>
          </a:extLst>
        </xdr:cNvPr>
        <xdr:cNvSpPr/>
      </xdr:nvSpPr>
      <xdr:spPr>
        <a:xfrm>
          <a:off x="6263640" y="2331720"/>
          <a:ext cx="4632960" cy="130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716280</xdr:colOff>
      <xdr:row>16</xdr:row>
      <xdr:rowOff>68580</xdr:rowOff>
    </xdr:from>
    <xdr:to>
      <xdr:col>13</xdr:col>
      <xdr:colOff>594360</xdr:colOff>
      <xdr:row>22</xdr:row>
      <xdr:rowOff>0</xdr:rowOff>
    </xdr:to>
    <xdr:sp macro="" textlink="">
      <xdr:nvSpPr>
        <xdr:cNvPr id="11" name="Rectangle 10">
          <a:extLst>
            <a:ext uri="{FF2B5EF4-FFF2-40B4-BE49-F238E27FC236}">
              <a16:creationId xmlns:a16="http://schemas.microsoft.com/office/drawing/2014/main" id="{29679F2E-CA11-431D-B99A-2DA506411F5E}"/>
            </a:ext>
          </a:extLst>
        </xdr:cNvPr>
        <xdr:cNvSpPr/>
      </xdr:nvSpPr>
      <xdr:spPr>
        <a:xfrm>
          <a:off x="6263640" y="3726180"/>
          <a:ext cx="4632960" cy="13030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716280</xdr:colOff>
      <xdr:row>10</xdr:row>
      <xdr:rowOff>68580</xdr:rowOff>
    </xdr:from>
    <xdr:to>
      <xdr:col>10</xdr:col>
      <xdr:colOff>464820</xdr:colOff>
      <xdr:row>11</xdr:row>
      <xdr:rowOff>144780</xdr:rowOff>
    </xdr:to>
    <xdr:sp macro="" textlink="">
      <xdr:nvSpPr>
        <xdr:cNvPr id="12" name="Rectangle: Rounded Corners 11">
          <a:extLst>
            <a:ext uri="{FF2B5EF4-FFF2-40B4-BE49-F238E27FC236}">
              <a16:creationId xmlns:a16="http://schemas.microsoft.com/office/drawing/2014/main" id="{9FE4D30E-DD7C-43D7-85C3-1485DD8D3F88}"/>
            </a:ext>
          </a:extLst>
        </xdr:cNvPr>
        <xdr:cNvSpPr/>
      </xdr:nvSpPr>
      <xdr:spPr>
        <a:xfrm>
          <a:off x="6263640" y="2354580"/>
          <a:ext cx="212598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Top Performing Salesman</a:t>
          </a:r>
        </a:p>
      </xdr:txBody>
    </xdr:sp>
    <xdr:clientData/>
  </xdr:twoCellAnchor>
  <xdr:twoCellAnchor>
    <xdr:from>
      <xdr:col>7</xdr:col>
      <xdr:colOff>716280</xdr:colOff>
      <xdr:row>16</xdr:row>
      <xdr:rowOff>68580</xdr:rowOff>
    </xdr:from>
    <xdr:to>
      <xdr:col>10</xdr:col>
      <xdr:colOff>487680</xdr:colOff>
      <xdr:row>17</xdr:row>
      <xdr:rowOff>137160</xdr:rowOff>
    </xdr:to>
    <xdr:sp macro="" textlink="">
      <xdr:nvSpPr>
        <xdr:cNvPr id="13" name="Rectangle: Rounded Corners 12">
          <a:extLst>
            <a:ext uri="{FF2B5EF4-FFF2-40B4-BE49-F238E27FC236}">
              <a16:creationId xmlns:a16="http://schemas.microsoft.com/office/drawing/2014/main" id="{FB82E0D1-4C14-4D12-892D-FB209DF047CB}"/>
            </a:ext>
          </a:extLst>
        </xdr:cNvPr>
        <xdr:cNvSpPr/>
      </xdr:nvSpPr>
      <xdr:spPr>
        <a:xfrm>
          <a:off x="6263640" y="3726180"/>
          <a:ext cx="2148840" cy="2971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Low Performing Salesman</a:t>
          </a:r>
        </a:p>
      </xdr:txBody>
    </xdr:sp>
    <xdr:clientData/>
  </xdr:twoCellAnchor>
  <xdr:twoCellAnchor>
    <xdr:from>
      <xdr:col>0</xdr:col>
      <xdr:colOff>106680</xdr:colOff>
      <xdr:row>5</xdr:row>
      <xdr:rowOff>167640</xdr:rowOff>
    </xdr:from>
    <xdr:to>
      <xdr:col>1</xdr:col>
      <xdr:colOff>632460</xdr:colOff>
      <xdr:row>7</xdr:row>
      <xdr:rowOff>137160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774A981-4343-47DE-942C-E24543F58EAD}"/>
            </a:ext>
          </a:extLst>
        </xdr:cNvPr>
        <xdr:cNvSpPr/>
      </xdr:nvSpPr>
      <xdr:spPr>
        <a:xfrm>
          <a:off x="106680" y="1310640"/>
          <a:ext cx="1318260" cy="42672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500" b="1">
              <a:solidFill>
                <a:schemeClr val="tx1"/>
              </a:solidFill>
              <a:latin typeface="+mn-lt"/>
            </a:rPr>
            <a:t>DASHBOARD</a:t>
          </a:r>
        </a:p>
      </xdr:txBody>
    </xdr:sp>
    <xdr:clientData/>
  </xdr:twoCellAnchor>
  <xdr:twoCellAnchor>
    <xdr:from>
      <xdr:col>0</xdr:col>
      <xdr:colOff>106680</xdr:colOff>
      <xdr:row>8</xdr:row>
      <xdr:rowOff>213360</xdr:rowOff>
    </xdr:from>
    <xdr:to>
      <xdr:col>1</xdr:col>
      <xdr:colOff>632460</xdr:colOff>
      <xdr:row>10</xdr:row>
      <xdr:rowOff>182880</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7FAAF67-B465-44DA-AA3D-B9F7AB40E926}"/>
            </a:ext>
          </a:extLst>
        </xdr:cNvPr>
        <xdr:cNvSpPr/>
      </xdr:nvSpPr>
      <xdr:spPr>
        <a:xfrm>
          <a:off x="106680" y="2042160"/>
          <a:ext cx="1318260" cy="42672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PRODUCTS</a:t>
          </a:r>
        </a:p>
      </xdr:txBody>
    </xdr:sp>
    <xdr:clientData/>
  </xdr:twoCellAnchor>
  <xdr:twoCellAnchor>
    <xdr:from>
      <xdr:col>0</xdr:col>
      <xdr:colOff>106680</xdr:colOff>
      <xdr:row>11</xdr:row>
      <xdr:rowOff>175260</xdr:rowOff>
    </xdr:from>
    <xdr:to>
      <xdr:col>1</xdr:col>
      <xdr:colOff>632460</xdr:colOff>
      <xdr:row>13</xdr:row>
      <xdr:rowOff>160020</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39A84596-94EB-44E9-B5B7-12C3CC7F6060}"/>
            </a:ext>
          </a:extLst>
        </xdr:cNvPr>
        <xdr:cNvSpPr/>
      </xdr:nvSpPr>
      <xdr:spPr>
        <a:xfrm>
          <a:off x="106680" y="2689860"/>
          <a:ext cx="1318260" cy="441960"/>
        </a:xfrm>
        <a:prstGeom prst="roundRect">
          <a:avLst>
            <a:gd name="adj" fmla="val 29167"/>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accent5">
                  <a:lumMod val="75000"/>
                </a:schemeClr>
              </a:solidFill>
              <a:latin typeface="+mn-lt"/>
            </a:rPr>
            <a:t>SALESMAN</a:t>
          </a:r>
        </a:p>
      </xdr:txBody>
    </xdr:sp>
    <xdr:clientData/>
  </xdr:twoCellAnchor>
  <xdr:twoCellAnchor>
    <xdr:from>
      <xdr:col>0</xdr:col>
      <xdr:colOff>83820</xdr:colOff>
      <xdr:row>14</xdr:row>
      <xdr:rowOff>160020</xdr:rowOff>
    </xdr:from>
    <xdr:to>
      <xdr:col>1</xdr:col>
      <xdr:colOff>609600</xdr:colOff>
      <xdr:row>16</xdr:row>
      <xdr:rowOff>152400</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AFFF95B6-71A4-4E06-9D0B-140ED5CAA01E}"/>
            </a:ext>
          </a:extLst>
        </xdr:cNvPr>
        <xdr:cNvSpPr/>
      </xdr:nvSpPr>
      <xdr:spPr>
        <a:xfrm>
          <a:off x="83820" y="3360420"/>
          <a:ext cx="1318260" cy="44958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ABOUT</a:t>
          </a:r>
        </a:p>
      </xdr:txBody>
    </xdr:sp>
    <xdr:clientData/>
  </xdr:twoCellAnchor>
  <xdr:twoCellAnchor>
    <xdr:from>
      <xdr:col>1</xdr:col>
      <xdr:colOff>678180</xdr:colOff>
      <xdr:row>9</xdr:row>
      <xdr:rowOff>213360</xdr:rowOff>
    </xdr:from>
    <xdr:to>
      <xdr:col>3</xdr:col>
      <xdr:colOff>609600</xdr:colOff>
      <xdr:row>11</xdr:row>
      <xdr:rowOff>121920</xdr:rowOff>
    </xdr:to>
    <xdr:sp macro="" textlink="">
      <xdr:nvSpPr>
        <xdr:cNvPr id="18" name="Rectangle: Rounded Corners 17">
          <a:extLst>
            <a:ext uri="{FF2B5EF4-FFF2-40B4-BE49-F238E27FC236}">
              <a16:creationId xmlns:a16="http://schemas.microsoft.com/office/drawing/2014/main" id="{650CB6E2-D0A0-483B-BF27-1C5BF5C73B78}"/>
            </a:ext>
          </a:extLst>
        </xdr:cNvPr>
        <xdr:cNvSpPr/>
      </xdr:nvSpPr>
      <xdr:spPr>
        <a:xfrm>
          <a:off x="1470660" y="2270760"/>
          <a:ext cx="151638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mn-lt"/>
            </a:rPr>
            <a:t>Sale by Salesman</a:t>
          </a:r>
        </a:p>
      </xdr:txBody>
    </xdr:sp>
    <xdr:clientData/>
  </xdr:twoCellAnchor>
  <xdr:twoCellAnchor>
    <xdr:from>
      <xdr:col>8</xdr:col>
      <xdr:colOff>7620</xdr:colOff>
      <xdr:row>11</xdr:row>
      <xdr:rowOff>121920</xdr:rowOff>
    </xdr:from>
    <xdr:to>
      <xdr:col>13</xdr:col>
      <xdr:colOff>548640</xdr:colOff>
      <xdr:row>15</xdr:row>
      <xdr:rowOff>160020</xdr:rowOff>
    </xdr:to>
    <xdr:graphicFrame macro="">
      <xdr:nvGraphicFramePr>
        <xdr:cNvPr id="22" name="Chart 21">
          <a:extLst>
            <a:ext uri="{FF2B5EF4-FFF2-40B4-BE49-F238E27FC236}">
              <a16:creationId xmlns:a16="http://schemas.microsoft.com/office/drawing/2014/main" id="{3C0C9084-E044-4A1C-B6B1-84CFFDFAE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762000</xdr:colOff>
      <xdr:row>17</xdr:row>
      <xdr:rowOff>137161</xdr:rowOff>
    </xdr:from>
    <xdr:to>
      <xdr:col>13</xdr:col>
      <xdr:colOff>586740</xdr:colOff>
      <xdr:row>21</xdr:row>
      <xdr:rowOff>198121</xdr:rowOff>
    </xdr:to>
    <xdr:graphicFrame macro="">
      <xdr:nvGraphicFramePr>
        <xdr:cNvPr id="23" name="Chart 22">
          <a:extLst>
            <a:ext uri="{FF2B5EF4-FFF2-40B4-BE49-F238E27FC236}">
              <a16:creationId xmlns:a16="http://schemas.microsoft.com/office/drawing/2014/main" id="{F3DC1B42-F249-49BF-9564-D5D93434B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746760</xdr:colOff>
      <xdr:row>11</xdr:row>
      <xdr:rowOff>53340</xdr:rowOff>
    </xdr:from>
    <xdr:to>
      <xdr:col>7</xdr:col>
      <xdr:colOff>563880</xdr:colOff>
      <xdr:row>21</xdr:row>
      <xdr:rowOff>220980</xdr:rowOff>
    </xdr:to>
    <xdr:graphicFrame macro="">
      <xdr:nvGraphicFramePr>
        <xdr:cNvPr id="24" name="Chart 23">
          <a:extLst>
            <a:ext uri="{FF2B5EF4-FFF2-40B4-BE49-F238E27FC236}">
              <a16:creationId xmlns:a16="http://schemas.microsoft.com/office/drawing/2014/main" id="{DE3D99CE-EA9E-4F3A-BEDF-E24E6590A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13</xdr:col>
      <xdr:colOff>777240</xdr:colOff>
      <xdr:row>22</xdr:row>
      <xdr:rowOff>83820</xdr:rowOff>
    </xdr:to>
    <xdr:sp macro="" textlink="">
      <xdr:nvSpPr>
        <xdr:cNvPr id="2" name="Rectangle: Rounded Corners 1">
          <a:extLst>
            <a:ext uri="{FF2B5EF4-FFF2-40B4-BE49-F238E27FC236}">
              <a16:creationId xmlns:a16="http://schemas.microsoft.com/office/drawing/2014/main" id="{8A1FBF2B-6D31-415D-AFEC-D77183E0DE4B}"/>
            </a:ext>
          </a:extLst>
        </xdr:cNvPr>
        <xdr:cNvSpPr/>
      </xdr:nvSpPr>
      <xdr:spPr>
        <a:xfrm>
          <a:off x="68580" y="68580"/>
          <a:ext cx="11010900" cy="5044440"/>
        </a:xfrm>
        <a:prstGeom prst="roundRect">
          <a:avLst>
            <a:gd name="adj" fmla="val 30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670560</xdr:colOff>
      <xdr:row>0</xdr:row>
      <xdr:rowOff>99060</xdr:rowOff>
    </xdr:from>
    <xdr:to>
      <xdr:col>13</xdr:col>
      <xdr:colOff>746760</xdr:colOff>
      <xdr:row>22</xdr:row>
      <xdr:rowOff>22860</xdr:rowOff>
    </xdr:to>
    <xdr:sp macro="" textlink="">
      <xdr:nvSpPr>
        <xdr:cNvPr id="3" name="Rectangle: Rounded Corners 2">
          <a:extLst>
            <a:ext uri="{FF2B5EF4-FFF2-40B4-BE49-F238E27FC236}">
              <a16:creationId xmlns:a16="http://schemas.microsoft.com/office/drawing/2014/main" id="{36CF3F63-C706-4BA7-8B7C-767235BEE560}"/>
            </a:ext>
          </a:extLst>
        </xdr:cNvPr>
        <xdr:cNvSpPr/>
      </xdr:nvSpPr>
      <xdr:spPr>
        <a:xfrm>
          <a:off x="1463040" y="99060"/>
          <a:ext cx="9585960" cy="4953000"/>
        </a:xfrm>
        <a:prstGeom prst="roundRect">
          <a:avLst>
            <a:gd name="adj" fmla="val 3031"/>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708660</xdr:colOff>
      <xdr:row>0</xdr:row>
      <xdr:rowOff>160020</xdr:rowOff>
    </xdr:from>
    <xdr:to>
      <xdr:col>10</xdr:col>
      <xdr:colOff>419100</xdr:colOff>
      <xdr:row>4</xdr:row>
      <xdr:rowOff>167640</xdr:rowOff>
    </xdr:to>
    <mc:AlternateContent xmlns:mc="http://schemas.openxmlformats.org/markup-compatibility/2006">
      <mc:Choice xmlns:tsle="http://schemas.microsoft.com/office/drawing/2012/timeslicer" Requires="tsle">
        <xdr:graphicFrame macro="">
          <xdr:nvGraphicFramePr>
            <xdr:cNvPr id="4" name="Date 4">
              <a:extLst>
                <a:ext uri="{FF2B5EF4-FFF2-40B4-BE49-F238E27FC236}">
                  <a16:creationId xmlns:a16="http://schemas.microsoft.com/office/drawing/2014/main" id="{9ED7764C-EC91-4C8E-A17C-91E3305EDB26}"/>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501140" y="160020"/>
              <a:ext cx="68427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464820</xdr:colOff>
      <xdr:row>0</xdr:row>
      <xdr:rowOff>152400</xdr:rowOff>
    </xdr:from>
    <xdr:to>
      <xdr:col>13</xdr:col>
      <xdr:colOff>640080</xdr:colOff>
      <xdr:row>4</xdr:row>
      <xdr:rowOff>152399</xdr:rowOff>
    </xdr:to>
    <mc:AlternateContent xmlns:mc="http://schemas.openxmlformats.org/markup-compatibility/2006">
      <mc:Choice xmlns:a14="http://schemas.microsoft.com/office/drawing/2010/main" Requires="a14">
        <xdr:graphicFrame macro="">
          <xdr:nvGraphicFramePr>
            <xdr:cNvPr id="5" name="Region 4">
              <a:extLst>
                <a:ext uri="{FF2B5EF4-FFF2-40B4-BE49-F238E27FC236}">
                  <a16:creationId xmlns:a16="http://schemas.microsoft.com/office/drawing/2014/main" id="{D2FB897D-1305-45AE-BB57-7010E3C3C11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8389620" y="152400"/>
              <a:ext cx="25527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723900</xdr:colOff>
      <xdr:row>4</xdr:row>
      <xdr:rowOff>198121</xdr:rowOff>
    </xdr:from>
    <xdr:to>
      <xdr:col>13</xdr:col>
      <xdr:colOff>655320</xdr:colOff>
      <xdr:row>7</xdr:row>
      <xdr:rowOff>175260</xdr:rowOff>
    </xdr:to>
    <mc:AlternateContent xmlns:mc="http://schemas.openxmlformats.org/markup-compatibility/2006">
      <mc:Choice xmlns:a14="http://schemas.microsoft.com/office/drawing/2010/main" Requires="a14">
        <xdr:graphicFrame macro="">
          <xdr:nvGraphicFramePr>
            <xdr:cNvPr id="6" name="Item 4">
              <a:extLst>
                <a:ext uri="{FF2B5EF4-FFF2-40B4-BE49-F238E27FC236}">
                  <a16:creationId xmlns:a16="http://schemas.microsoft.com/office/drawing/2014/main" id="{2FAF1715-EEDE-479B-BDFE-61122994F8F4}"/>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dr:sp macro="" textlink="">
          <xdr:nvSpPr>
            <xdr:cNvPr id="0" name=""/>
            <xdr:cNvSpPr>
              <a:spLocks noTextEdit="1"/>
            </xdr:cNvSpPr>
          </xdr:nvSpPr>
          <xdr:spPr>
            <a:xfrm>
              <a:off x="1516380" y="1112521"/>
              <a:ext cx="944118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8</xdr:row>
      <xdr:rowOff>38100</xdr:rowOff>
    </xdr:from>
    <xdr:to>
      <xdr:col>4</xdr:col>
      <xdr:colOff>91440</xdr:colOff>
      <xdr:row>9</xdr:row>
      <xdr:rowOff>190500</xdr:rowOff>
    </xdr:to>
    <xdr:sp macro="" textlink="">
      <xdr:nvSpPr>
        <xdr:cNvPr id="8" name="Rectangle: Rounded Corners 7">
          <a:extLst>
            <a:ext uri="{FF2B5EF4-FFF2-40B4-BE49-F238E27FC236}">
              <a16:creationId xmlns:a16="http://schemas.microsoft.com/office/drawing/2014/main" id="{05F2E9E6-9060-4E93-B7D2-B65130B066A0}"/>
            </a:ext>
          </a:extLst>
        </xdr:cNvPr>
        <xdr:cNvSpPr/>
      </xdr:nvSpPr>
      <xdr:spPr>
        <a:xfrm>
          <a:off x="2004060" y="1866900"/>
          <a:ext cx="125730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mn-lt"/>
            </a:rPr>
            <a:t>ABOUT</a:t>
          </a:r>
        </a:p>
      </xdr:txBody>
    </xdr:sp>
    <xdr:clientData/>
  </xdr:twoCellAnchor>
  <xdr:twoCellAnchor>
    <xdr:from>
      <xdr:col>1</xdr:col>
      <xdr:colOff>746760</xdr:colOff>
      <xdr:row>10</xdr:row>
      <xdr:rowOff>45720</xdr:rowOff>
    </xdr:from>
    <xdr:to>
      <xdr:col>13</xdr:col>
      <xdr:colOff>701040</xdr:colOff>
      <xdr:row>21</xdr:row>
      <xdr:rowOff>220980</xdr:rowOff>
    </xdr:to>
    <xdr:sp macro="" textlink="">
      <xdr:nvSpPr>
        <xdr:cNvPr id="9" name="Rectangle: Rounded Corners 8">
          <a:extLst>
            <a:ext uri="{FF2B5EF4-FFF2-40B4-BE49-F238E27FC236}">
              <a16:creationId xmlns:a16="http://schemas.microsoft.com/office/drawing/2014/main" id="{3BCBFBB0-FE45-43BB-AFE7-71DF011668C8}"/>
            </a:ext>
          </a:extLst>
        </xdr:cNvPr>
        <xdr:cNvSpPr/>
      </xdr:nvSpPr>
      <xdr:spPr>
        <a:xfrm>
          <a:off x="1539240" y="2331720"/>
          <a:ext cx="9464040" cy="2689860"/>
        </a:xfrm>
        <a:prstGeom prst="roundRect">
          <a:avLst>
            <a:gd name="adj" fmla="val 64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mn-lt"/>
            </a:rPr>
            <a:t>Project Developer:</a:t>
          </a:r>
        </a:p>
        <a:p>
          <a:pPr algn="l"/>
          <a:endParaRPr lang="en-IN" sz="1100">
            <a:solidFill>
              <a:sysClr val="windowText" lastClr="000000"/>
            </a:solidFill>
          </a:endParaRPr>
        </a:p>
        <a:p>
          <a:pPr algn="l"/>
          <a:r>
            <a:rPr lang="en-IN" sz="1400" i="1">
              <a:solidFill>
                <a:sysClr val="windowText" lastClr="000000"/>
              </a:solidFill>
            </a:rPr>
            <a:t>This project is created by </a:t>
          </a:r>
          <a:r>
            <a:rPr lang="en-IN" sz="1400" b="1" i="1">
              <a:solidFill>
                <a:sysClr val="windowText" lastClr="000000"/>
              </a:solidFill>
            </a:rPr>
            <a:t>ABHISHEK</a:t>
          </a:r>
          <a:r>
            <a:rPr lang="en-IN" sz="1400" b="1" i="1" baseline="0">
              <a:solidFill>
                <a:sysClr val="windowText" lastClr="000000"/>
              </a:solidFill>
            </a:rPr>
            <a:t> TIWARI </a:t>
          </a:r>
          <a:r>
            <a:rPr lang="en-IN" sz="1400" i="1" baseline="0">
              <a:solidFill>
                <a:sysClr val="windowText" lastClr="000000"/>
              </a:solidFill>
            </a:rPr>
            <a:t>(Data Enthusiast).</a:t>
          </a:r>
        </a:p>
        <a:p>
          <a:pPr algn="l"/>
          <a:endParaRPr lang="en-IN" sz="1400" i="1" baseline="0">
            <a:solidFill>
              <a:sysClr val="windowText" lastClr="000000"/>
            </a:solidFill>
          </a:endParaRPr>
        </a:p>
        <a:p>
          <a:pPr algn="l"/>
          <a:endParaRPr lang="en-IN" sz="1100" baseline="0">
            <a:solidFill>
              <a:sysClr val="windowText" lastClr="000000"/>
            </a:solidFill>
          </a:endParaRPr>
        </a:p>
        <a:p>
          <a:pPr algn="l"/>
          <a:endParaRPr lang="en-IN" sz="1100" baseline="0">
            <a:solidFill>
              <a:sysClr val="windowText" lastClr="000000"/>
            </a:solidFill>
          </a:endParaRPr>
        </a:p>
        <a:p>
          <a:pPr algn="l"/>
          <a:endParaRPr lang="en-IN" sz="1100" baseline="0">
            <a:solidFill>
              <a:sysClr val="windowText" lastClr="000000"/>
            </a:solidFill>
          </a:endParaRPr>
        </a:p>
        <a:p>
          <a:pPr algn="l"/>
          <a:r>
            <a:rPr lang="en-IN" sz="1800" b="1" baseline="0">
              <a:solidFill>
                <a:sysClr val="windowText" lastClr="000000"/>
              </a:solidFill>
            </a:rPr>
            <a:t>Version:</a:t>
          </a:r>
        </a:p>
        <a:p>
          <a:pPr algn="l"/>
          <a:endParaRPr lang="en-IN" sz="1100" baseline="0">
            <a:solidFill>
              <a:sysClr val="windowText" lastClr="000000"/>
            </a:solidFill>
          </a:endParaRPr>
        </a:p>
        <a:p>
          <a:pPr algn="l"/>
          <a:r>
            <a:rPr lang="en-IN" sz="1400" b="0" i="1" baseline="0">
              <a:solidFill>
                <a:sysClr val="windowText" lastClr="000000"/>
              </a:solidFill>
            </a:rPr>
            <a:t>This Project is created in excel </a:t>
          </a:r>
          <a:r>
            <a:rPr lang="en-IN" sz="1400" b="1" i="1" baseline="0">
              <a:solidFill>
                <a:sysClr val="windowText" lastClr="000000"/>
              </a:solidFill>
            </a:rPr>
            <a:t>2019</a:t>
          </a:r>
          <a:r>
            <a:rPr lang="en-IN" sz="1400" b="0" i="1" baseline="0">
              <a:solidFill>
                <a:sysClr val="windowText" lastClr="000000"/>
              </a:solidFill>
            </a:rPr>
            <a:t> version, but you can use excel </a:t>
          </a:r>
          <a:r>
            <a:rPr lang="en-IN" sz="1400" b="1" i="1" baseline="0">
              <a:solidFill>
                <a:sysClr val="windowText" lastClr="000000"/>
              </a:solidFill>
            </a:rPr>
            <a:t>2013</a:t>
          </a:r>
          <a:r>
            <a:rPr lang="en-IN" sz="1400" b="0" i="1" baseline="0">
              <a:solidFill>
                <a:sysClr val="windowText" lastClr="000000"/>
              </a:solidFill>
            </a:rPr>
            <a:t> or any later version.</a:t>
          </a:r>
          <a:endParaRPr lang="en-IN" sz="1400" b="0" i="1">
            <a:solidFill>
              <a:sysClr val="windowText" lastClr="000000"/>
            </a:solidFill>
          </a:endParaRPr>
        </a:p>
      </xdr:txBody>
    </xdr:sp>
    <xdr:clientData/>
  </xdr:twoCellAnchor>
  <xdr:twoCellAnchor>
    <xdr:from>
      <xdr:col>0</xdr:col>
      <xdr:colOff>106680</xdr:colOff>
      <xdr:row>5</xdr:row>
      <xdr:rowOff>167640</xdr:rowOff>
    </xdr:from>
    <xdr:to>
      <xdr:col>1</xdr:col>
      <xdr:colOff>632460</xdr:colOff>
      <xdr:row>7</xdr:row>
      <xdr:rowOff>137160</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B7EC2A6E-DCCA-48D9-8101-F5A2BB0E5C37}"/>
            </a:ext>
          </a:extLst>
        </xdr:cNvPr>
        <xdr:cNvSpPr/>
      </xdr:nvSpPr>
      <xdr:spPr>
        <a:xfrm>
          <a:off x="106680" y="1310640"/>
          <a:ext cx="1318260" cy="42672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500" b="1">
              <a:solidFill>
                <a:schemeClr val="tx1"/>
              </a:solidFill>
              <a:latin typeface="+mn-lt"/>
            </a:rPr>
            <a:t>DASHBOARD</a:t>
          </a:r>
        </a:p>
      </xdr:txBody>
    </xdr:sp>
    <xdr:clientData/>
  </xdr:twoCellAnchor>
  <xdr:twoCellAnchor>
    <xdr:from>
      <xdr:col>0</xdr:col>
      <xdr:colOff>106680</xdr:colOff>
      <xdr:row>8</xdr:row>
      <xdr:rowOff>213360</xdr:rowOff>
    </xdr:from>
    <xdr:to>
      <xdr:col>1</xdr:col>
      <xdr:colOff>632460</xdr:colOff>
      <xdr:row>10</xdr:row>
      <xdr:rowOff>182880</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EB2534A8-8C8F-46FF-B82A-50FE433CEE86}"/>
            </a:ext>
          </a:extLst>
        </xdr:cNvPr>
        <xdr:cNvSpPr/>
      </xdr:nvSpPr>
      <xdr:spPr>
        <a:xfrm>
          <a:off x="106680" y="2042160"/>
          <a:ext cx="1318260" cy="42672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PRODUCTS</a:t>
          </a:r>
        </a:p>
      </xdr:txBody>
    </xdr:sp>
    <xdr:clientData/>
  </xdr:twoCellAnchor>
  <xdr:twoCellAnchor>
    <xdr:from>
      <xdr:col>0</xdr:col>
      <xdr:colOff>106680</xdr:colOff>
      <xdr:row>11</xdr:row>
      <xdr:rowOff>175260</xdr:rowOff>
    </xdr:from>
    <xdr:to>
      <xdr:col>1</xdr:col>
      <xdr:colOff>632460</xdr:colOff>
      <xdr:row>13</xdr:row>
      <xdr:rowOff>160020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1A05F035-92F6-4119-8A2B-DB97542E1092}"/>
            </a:ext>
          </a:extLst>
        </xdr:cNvPr>
        <xdr:cNvSpPr/>
      </xdr:nvSpPr>
      <xdr:spPr>
        <a:xfrm>
          <a:off x="106680" y="2689860"/>
          <a:ext cx="1318260" cy="441960"/>
        </a:xfrm>
        <a:prstGeom prst="roundRect">
          <a:avLst>
            <a:gd name="adj" fmla="val 29167"/>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1"/>
              </a:solidFill>
              <a:latin typeface="+mn-lt"/>
            </a:rPr>
            <a:t>SALESMAN</a:t>
          </a:r>
        </a:p>
      </xdr:txBody>
    </xdr:sp>
    <xdr:clientData/>
  </xdr:twoCellAnchor>
  <xdr:twoCellAnchor>
    <xdr:from>
      <xdr:col>0</xdr:col>
      <xdr:colOff>83820</xdr:colOff>
      <xdr:row>14</xdr:row>
      <xdr:rowOff>160020</xdr:rowOff>
    </xdr:from>
    <xdr:to>
      <xdr:col>1</xdr:col>
      <xdr:colOff>609600</xdr:colOff>
      <xdr:row>16</xdr:row>
      <xdr:rowOff>152400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41D4097-1CDE-4E9A-8902-144ABCA5BB79}"/>
            </a:ext>
          </a:extLst>
        </xdr:cNvPr>
        <xdr:cNvSpPr/>
      </xdr:nvSpPr>
      <xdr:spPr>
        <a:xfrm>
          <a:off x="83820" y="3360420"/>
          <a:ext cx="1318260" cy="449580"/>
        </a:xfrm>
        <a:prstGeom prst="roundRect">
          <a:avLst>
            <a:gd name="adj" fmla="val 2916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accent5">
                  <a:lumMod val="75000"/>
                </a:schemeClr>
              </a:solidFill>
              <a:latin typeface="+mn-lt"/>
            </a:rPr>
            <a:t>ABOUT</a:t>
          </a:r>
        </a:p>
      </xdr:txBody>
    </xdr:sp>
    <xdr:clientData/>
  </xdr:twoCellAnchor>
  <xdr:twoCellAnchor editAs="oneCell">
    <xdr:from>
      <xdr:col>2</xdr:col>
      <xdr:colOff>0</xdr:colOff>
      <xdr:row>8</xdr:row>
      <xdr:rowOff>7620</xdr:rowOff>
    </xdr:from>
    <xdr:to>
      <xdr:col>2</xdr:col>
      <xdr:colOff>441960</xdr:colOff>
      <xdr:row>9</xdr:row>
      <xdr:rowOff>220980</xdr:rowOff>
    </xdr:to>
    <xdr:pic>
      <xdr:nvPicPr>
        <xdr:cNvPr id="23" name="Picture 22">
          <a:extLst>
            <a:ext uri="{FF2B5EF4-FFF2-40B4-BE49-F238E27FC236}">
              <a16:creationId xmlns:a16="http://schemas.microsoft.com/office/drawing/2014/main" id="{E3FD93C2-995E-20B4-1574-124F84527BC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84960" y="1836420"/>
          <a:ext cx="441960" cy="441960"/>
        </a:xfrm>
        <a:prstGeom prst="rect">
          <a:avLst/>
        </a:prstGeom>
        <a:noFill/>
        <a:ln>
          <a:noFill/>
        </a:ln>
        <a:effectLst>
          <a:outerShdw blurRad="50800" dist="38100" dir="2700000" algn="tl" rotWithShape="0">
            <a:prstClr val="black">
              <a:alpha val="40000"/>
            </a:prstClr>
          </a:outerShdw>
          <a:softEdge rad="38100"/>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259080</xdr:colOff>
      <xdr:row>0</xdr:row>
      <xdr:rowOff>190500</xdr:rowOff>
    </xdr:from>
    <xdr:to>
      <xdr:col>14</xdr:col>
      <xdr:colOff>213360</xdr:colOff>
      <xdr:row>4</xdr:row>
      <xdr:rowOff>198120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19DF1F6B-3436-E8A8-D4E9-236EB5D6E06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359127" y="190500"/>
              <a:ext cx="5476539" cy="939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266700</xdr:colOff>
      <xdr:row>9</xdr:row>
      <xdr:rowOff>167641</xdr:rowOff>
    </xdr:from>
    <xdr:to>
      <xdr:col>10</xdr:col>
      <xdr:colOff>441960</xdr:colOff>
      <xdr:row>13</xdr:row>
      <xdr:rowOff>167640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3EF65F5-67E0-2D3D-2BC2-D774FE56E3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66747" y="2265382"/>
              <a:ext cx="2541942" cy="932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243840</xdr:colOff>
      <xdr:row>5</xdr:row>
      <xdr:rowOff>83820</xdr:rowOff>
    </xdr:from>
    <xdr:to>
      <xdr:col>14</xdr:col>
      <xdr:colOff>723900</xdr:colOff>
      <xdr:row>9</xdr:row>
      <xdr:rowOff>53339</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AF2B681B-7B84-63FE-C3F4-9C61ED2585C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343887" y="1249232"/>
              <a:ext cx="6002319" cy="901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52.305004166665" createdVersion="8" refreshedVersion="8" minRefreshableVersion="3" recordCount="366" xr:uid="{CDC86E65-BDD4-4C42-80E4-D9B6CD9BADB5}">
  <cacheSource type="worksheet">
    <worksheetSource ref="A1:H367" sheet="Sales 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434090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9445E-E57D-4364-8B6D-B9DB48ED92E2}" name="PivotTable1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76:B8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v="4"/>
    </i>
    <i>
      <x/>
    </i>
    <i>
      <x v="1"/>
    </i>
    <i>
      <x v="3"/>
    </i>
    <i>
      <x v="2"/>
    </i>
    <i t="grand">
      <x/>
    </i>
  </rowItems>
  <colItems count="1">
    <i/>
  </colItems>
  <dataFields count="1">
    <dataField name="Sum of Amount" fld="7" baseField="0" baseItem="0" numFmtId="164"/>
  </dataFields>
  <formats count="1">
    <format dxfId="0">
      <pivotArea outline="0" collapsedLevelsAreSubtotals="1" fieldPosition="0"/>
    </format>
  </formats>
  <chartFormats count="2">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B1AC44-643A-44D6-B07A-E5FE95D0EB05}" name="PivotTable1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66:B7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numFmtId="164"/>
  </dataFields>
  <formats count="1">
    <format dxfId="1">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0"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DD6BC-DA13-4679-996F-3AB9E5C9A564}" name="PivotTable14"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57:B6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numFmtId="164"/>
  </dataFields>
  <formats count="1">
    <format dxfId="2">
      <pivotArea outline="0" collapsedLevelsAreSubtotals="1" fieldPosition="0"/>
    </format>
  </formats>
  <chartFormats count="2">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851373-25FD-45BD-90AC-17C15DDBDD2F}" name="PivotTable10"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45:B5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1">
    <format dxfId="3">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A2C10-2AA5-4FC3-B802-349007FA7729}" name="PivotTable9"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7:B4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5"/>
    </i>
    <i>
      <x v="4"/>
    </i>
    <i t="grand">
      <x/>
    </i>
  </rowItems>
  <colItems count="1">
    <i/>
  </colItems>
  <dataFields count="1">
    <dataField name="Sum of Qty" fld="5" baseField="0" baseItem="0" numFmtId="164"/>
  </dataFields>
  <formats count="1">
    <format dxfId="4">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685DE9-EF22-421D-97C3-D78A44833509}" name="PivotTable8"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29:B3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numFmtId="164"/>
  </dataFields>
  <formats count="1">
    <format dxfId="5">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8E5E2-6C73-43EF-B0C7-88DBCC2FE05A}" name="PivotTable7"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24:A2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F67F66-C34C-4E31-9FE2-C34849B334C5}" name="PivotTable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19:A2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93210F-1F98-442E-91CA-59C270DEF1C3}" name="PivotTable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D11:E1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formats count="1">
    <format dxfId="6">
      <pivotArea collapsedLevelsAreSubtotals="1" fieldPosition="0">
        <references count="1">
          <reference field="4" count="0"/>
        </references>
      </pivotArea>
    </format>
  </formats>
  <chartFormats count="5">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8CB1AE-063D-4FDD-B130-5B6F87D932F9}" name="PivotTable4"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2:E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
  </dataFields>
  <formats count="1">
    <format dxfId="7">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DA55D9-1F51-4B46-889D-553C46FD0066}"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B15"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
  </dataFields>
  <formats count="1">
    <format dxfId="8">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8F04CD-EAD6-4F2F-8F29-B1042DF5F89D}" sourceName="Region">
  <pivotTables>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4"/>
    <pivotTable tabId="9" name="PivotTable15"/>
    <pivotTable tabId="9" name="PivotTable16"/>
  </pivotTables>
  <data>
    <tabular pivotCacheId="43409057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098E812-51D8-44DB-A55B-EC43841263A0}" sourceName="Item">
  <pivotTables>
    <pivotTable tabId="9" name="PivotTable3"/>
    <pivotTable tabId="9" name="PivotTable4"/>
    <pivotTable tabId="9" name="PivotTable5"/>
    <pivotTable tabId="9" name="PivotTable6"/>
    <pivotTable tabId="9" name="PivotTable7"/>
    <pivotTable tabId="9" name="PivotTable10"/>
    <pivotTable tabId="9" name="PivotTable14"/>
    <pivotTable tabId="9" name="PivotTable15"/>
    <pivotTable tabId="9" name="PivotTable16"/>
  </pivotTables>
  <data>
    <tabular pivotCacheId="434090579">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5BC3EED-7F01-4B9C-85EC-AC20076CB380}" cache="Slicer_Region" caption="Region" columnCount="2" style="SlicerStyleOther1" rowHeight="182880"/>
  <slicer name="Item 1" xr10:uid="{6123F9DF-201E-4BA2-BD11-4923AC890AFE}" cache="Slicer_Item" caption="Item" columnCount="6"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94EBCF4-D565-4359-800A-11AF884A50FD}" cache="Slicer_Region" caption="Region" columnCount="2" style="SlicerStyleOther1" rowHeight="182880"/>
  <slicer name="Item 2" xr10:uid="{50A6C9D5-5A37-4CED-92F6-51121F231DB2}" cache="Slicer_Item" caption="Item" columnCount="6"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FA37ED0-7247-48FB-9EA2-3827E97F98D9}" cache="Slicer_Region" caption="Region" columnCount="2" style="SlicerStyleOther1" rowHeight="182880"/>
  <slicer name="Item 3" xr10:uid="{90564BA1-7DC7-4353-86A2-BB0FF038B40F}" cache="Slicer_Item" caption="Item" columnCount="6"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E7E29D2-04A2-472F-8FB9-8E2FCC72846D}" cache="Slicer_Region" caption="Region" columnCount="2" style="SlicerStyleOther1" rowHeight="182880"/>
  <slicer name="Item 4" xr10:uid="{9441BCCA-317D-4ED2-B4FE-0852E83CFB0E}" cache="Slicer_Item" caption="Item" columnCount="6"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EF41BF-6079-4588-BA03-4F636B6C56EB}" cache="Slicer_Region" caption="Region" columnCount="2" rowHeight="182880"/>
  <slicer name="Item" xr10:uid="{EE8DDF4A-7629-4EAB-909B-BD34777464FA}" cache="Slicer_Item" caption="Item" columnCount="6"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BB50F83-73F5-4D26-AF11-B8BEB54FDA05}" sourceName="Date">
  <pivotTables>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4"/>
    <pivotTable tabId="9" name="PivotTable15"/>
    <pivotTable tabId="9" name="PivotTable16"/>
  </pivotTables>
  <state minimalRefreshVersion="6" lastRefreshVersion="6" pivotCacheId="434090579"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7F487AC-D044-42A6-A2AB-50F472336D5E}"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2A5CDE8-CA15-45A5-BDCC-4997C47CCDDF}"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13EFC73C-A977-46DC-B94E-452A39EDD9B7}"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B427EE37-96D4-4742-BF89-DE3C9678C12C}"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A5F1791-3B17-4D26-88BB-8B7E3959585C}" cache="NativeTimeline_Date" caption="Date" showSelectionLabel="0" showTimeLevel="0" showHorizontalScrollbar="0" level="2" selectionLevel="2" scrollPosition="202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CC67-8C3B-454D-AE21-12D6A05AF69C}">
  <dimension ref="A1"/>
  <sheetViews>
    <sheetView tabSelected="1"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6F95-97B4-4CCF-83CF-AD7C59D1ABDA}">
  <dimension ref="A1"/>
  <sheetViews>
    <sheetView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42493-14B4-4848-9194-A20F5597337B}">
  <dimension ref="A1"/>
  <sheetViews>
    <sheetView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3A9E-C7D6-41E2-9FF7-0E01C6A58371}">
  <dimension ref="A1"/>
  <sheetViews>
    <sheetView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G18" sqref="A1:H367"/>
    </sheetView>
  </sheetViews>
  <sheetFormatPr defaultRowHeight="18" x14ac:dyDescent="0.35"/>
  <cols>
    <col min="2" max="2" width="13.08203125" customWidth="1"/>
    <col min="6" max="7" width="8.83203125" style="11" customWidth="1"/>
    <col min="8" max="8" width="14.332031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F2*G2</f>
        <v>1470</v>
      </c>
    </row>
    <row r="3" spans="1:8" x14ac:dyDescent="0.35">
      <c r="A3" s="4">
        <v>2</v>
      </c>
      <c r="B3" s="5">
        <v>44198</v>
      </c>
      <c r="C3" s="6" t="s">
        <v>11</v>
      </c>
      <c r="D3" s="6" t="s">
        <v>12</v>
      </c>
      <c r="E3" s="6" t="s">
        <v>13</v>
      </c>
      <c r="F3" s="10">
        <v>6</v>
      </c>
      <c r="G3" s="10">
        <v>2100</v>
      </c>
      <c r="H3" s="10">
        <f t="shared" ref="H3:H38" si="0">F3*G3</f>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ref="H39:H102" si="1">F39*G39</f>
        <v>420</v>
      </c>
    </row>
    <row r="40" spans="1:8" x14ac:dyDescent="0.35">
      <c r="A40" s="4">
        <v>39</v>
      </c>
      <c r="B40" s="5">
        <v>44235</v>
      </c>
      <c r="C40" s="6" t="s">
        <v>11</v>
      </c>
      <c r="D40" s="6" t="s">
        <v>12</v>
      </c>
      <c r="E40" s="6" t="s">
        <v>13</v>
      </c>
      <c r="F40" s="10">
        <v>7</v>
      </c>
      <c r="G40" s="10">
        <v>2100</v>
      </c>
      <c r="H40" s="10">
        <f t="shared" si="1"/>
        <v>14700</v>
      </c>
    </row>
    <row r="41" spans="1:8" x14ac:dyDescent="0.35">
      <c r="A41" s="4">
        <v>40</v>
      </c>
      <c r="B41" s="5">
        <v>44236</v>
      </c>
      <c r="C41" s="6" t="s">
        <v>11</v>
      </c>
      <c r="D41" s="6" t="s">
        <v>9</v>
      </c>
      <c r="E41" s="6" t="s">
        <v>15</v>
      </c>
      <c r="F41" s="10">
        <v>6</v>
      </c>
      <c r="G41" s="10">
        <v>1200</v>
      </c>
      <c r="H41" s="10">
        <f t="shared" si="1"/>
        <v>7200</v>
      </c>
    </row>
    <row r="42" spans="1:8" x14ac:dyDescent="0.35">
      <c r="A42" s="4">
        <v>41</v>
      </c>
      <c r="B42" s="5">
        <v>44237</v>
      </c>
      <c r="C42" s="6" t="s">
        <v>11</v>
      </c>
      <c r="D42" s="6" t="s">
        <v>22</v>
      </c>
      <c r="E42" s="6" t="s">
        <v>13</v>
      </c>
      <c r="F42" s="10">
        <v>7</v>
      </c>
      <c r="G42" s="10">
        <v>2100</v>
      </c>
      <c r="H42" s="10">
        <f t="shared" si="1"/>
        <v>14700</v>
      </c>
    </row>
    <row r="43" spans="1:8" x14ac:dyDescent="0.35">
      <c r="A43" s="4">
        <v>42</v>
      </c>
      <c r="B43" s="5">
        <v>44238</v>
      </c>
      <c r="C43" s="6" t="s">
        <v>11</v>
      </c>
      <c r="D43" s="6" t="s">
        <v>23</v>
      </c>
      <c r="E43" s="6" t="s">
        <v>13</v>
      </c>
      <c r="F43" s="10">
        <v>7</v>
      </c>
      <c r="G43" s="10">
        <v>2100</v>
      </c>
      <c r="H43" s="10">
        <f t="shared" si="1"/>
        <v>14700</v>
      </c>
    </row>
    <row r="44" spans="1:8" x14ac:dyDescent="0.35">
      <c r="A44" s="4">
        <v>43</v>
      </c>
      <c r="B44" s="5">
        <v>44239</v>
      </c>
      <c r="C44" s="6" t="s">
        <v>14</v>
      </c>
      <c r="D44" s="6" t="s">
        <v>23</v>
      </c>
      <c r="E44" s="6" t="s">
        <v>13</v>
      </c>
      <c r="F44" s="10">
        <v>7</v>
      </c>
      <c r="G44" s="10">
        <v>2100</v>
      </c>
      <c r="H44" s="10">
        <f t="shared" si="1"/>
        <v>14700</v>
      </c>
    </row>
    <row r="45" spans="1:8" x14ac:dyDescent="0.35">
      <c r="A45" s="4">
        <v>44</v>
      </c>
      <c r="B45" s="5">
        <v>44240</v>
      </c>
      <c r="C45" s="6" t="s">
        <v>16</v>
      </c>
      <c r="D45" s="6" t="s">
        <v>23</v>
      </c>
      <c r="E45" s="6" t="s">
        <v>13</v>
      </c>
      <c r="F45" s="10">
        <v>7</v>
      </c>
      <c r="G45" s="10">
        <v>2100</v>
      </c>
      <c r="H45" s="10">
        <f t="shared" si="1"/>
        <v>14700</v>
      </c>
    </row>
    <row r="46" spans="1:8" x14ac:dyDescent="0.35">
      <c r="A46" s="4">
        <v>45</v>
      </c>
      <c r="B46" s="5">
        <v>44241</v>
      </c>
      <c r="C46" s="6" t="s">
        <v>18</v>
      </c>
      <c r="D46" s="6" t="s">
        <v>23</v>
      </c>
      <c r="E46" s="6" t="s">
        <v>13</v>
      </c>
      <c r="F46" s="10">
        <v>7</v>
      </c>
      <c r="G46" s="10">
        <v>2100</v>
      </c>
      <c r="H46" s="10">
        <f t="shared" si="1"/>
        <v>14700</v>
      </c>
    </row>
    <row r="47" spans="1:8" x14ac:dyDescent="0.35">
      <c r="A47" s="4">
        <v>46</v>
      </c>
      <c r="B47" s="5">
        <v>44242</v>
      </c>
      <c r="C47" s="6" t="s">
        <v>20</v>
      </c>
      <c r="D47" s="6" t="s">
        <v>23</v>
      </c>
      <c r="E47" s="6" t="s">
        <v>13</v>
      </c>
      <c r="F47" s="10">
        <v>7</v>
      </c>
      <c r="G47" s="10">
        <v>2100</v>
      </c>
      <c r="H47" s="10">
        <f t="shared" si="1"/>
        <v>14700</v>
      </c>
    </row>
    <row r="48" spans="1:8" x14ac:dyDescent="0.35">
      <c r="A48" s="4">
        <v>47</v>
      </c>
      <c r="B48" s="5">
        <v>44243</v>
      </c>
      <c r="C48" s="6" t="s">
        <v>20</v>
      </c>
      <c r="D48" s="6" t="s">
        <v>9</v>
      </c>
      <c r="E48" s="6" t="s">
        <v>13</v>
      </c>
      <c r="F48" s="10">
        <v>7</v>
      </c>
      <c r="G48" s="10">
        <v>2100</v>
      </c>
      <c r="H48" s="10">
        <f t="shared" si="1"/>
        <v>14700</v>
      </c>
    </row>
    <row r="49" spans="1:8" x14ac:dyDescent="0.35">
      <c r="A49" s="4">
        <v>48</v>
      </c>
      <c r="B49" s="5">
        <v>44244</v>
      </c>
      <c r="C49" s="6" t="s">
        <v>20</v>
      </c>
      <c r="D49" s="6" t="s">
        <v>12</v>
      </c>
      <c r="E49" s="6" t="s">
        <v>13</v>
      </c>
      <c r="F49" s="10">
        <v>7</v>
      </c>
      <c r="G49" s="10">
        <v>2100</v>
      </c>
      <c r="H49" s="10">
        <f t="shared" si="1"/>
        <v>14700</v>
      </c>
    </row>
    <row r="50" spans="1:8" x14ac:dyDescent="0.35">
      <c r="A50" s="4">
        <v>49</v>
      </c>
      <c r="B50" s="5">
        <v>44245</v>
      </c>
      <c r="C50" s="6" t="s">
        <v>20</v>
      </c>
      <c r="D50" s="6" t="s">
        <v>22</v>
      </c>
      <c r="E50" s="6" t="s">
        <v>13</v>
      </c>
      <c r="F50" s="10">
        <v>7</v>
      </c>
      <c r="G50" s="10">
        <v>2100</v>
      </c>
      <c r="H50" s="10">
        <f t="shared" si="1"/>
        <v>14700</v>
      </c>
    </row>
    <row r="51" spans="1:8" x14ac:dyDescent="0.35">
      <c r="A51" s="4">
        <v>50</v>
      </c>
      <c r="B51" s="5">
        <v>44246</v>
      </c>
      <c r="C51" s="6" t="s">
        <v>20</v>
      </c>
      <c r="D51" s="6" t="s">
        <v>23</v>
      </c>
      <c r="E51" s="6" t="s">
        <v>13</v>
      </c>
      <c r="F51" s="10">
        <v>7</v>
      </c>
      <c r="G51" s="10">
        <v>2100</v>
      </c>
      <c r="H51" s="10">
        <f t="shared" si="1"/>
        <v>14700</v>
      </c>
    </row>
    <row r="52" spans="1:8" x14ac:dyDescent="0.35">
      <c r="A52" s="4">
        <v>51</v>
      </c>
      <c r="B52" s="5">
        <v>44247</v>
      </c>
      <c r="C52" s="6" t="s">
        <v>20</v>
      </c>
      <c r="D52" s="6" t="s">
        <v>9</v>
      </c>
      <c r="E52" s="6" t="s">
        <v>10</v>
      </c>
      <c r="F52" s="10">
        <v>7</v>
      </c>
      <c r="G52" s="10">
        <v>210</v>
      </c>
      <c r="H52" s="10">
        <f t="shared" si="1"/>
        <v>1470</v>
      </c>
    </row>
    <row r="53" spans="1:8" x14ac:dyDescent="0.35">
      <c r="A53" s="4">
        <v>52</v>
      </c>
      <c r="B53" s="5">
        <v>44248</v>
      </c>
      <c r="C53" s="6" t="s">
        <v>20</v>
      </c>
      <c r="D53" s="6" t="s">
        <v>12</v>
      </c>
      <c r="E53" s="6" t="s">
        <v>13</v>
      </c>
      <c r="F53" s="10">
        <v>6</v>
      </c>
      <c r="G53" s="10">
        <v>2100</v>
      </c>
      <c r="H53" s="10">
        <f t="shared" si="1"/>
        <v>12600</v>
      </c>
    </row>
    <row r="54" spans="1:8" x14ac:dyDescent="0.35">
      <c r="A54" s="4">
        <v>53</v>
      </c>
      <c r="B54" s="5">
        <v>44249</v>
      </c>
      <c r="C54" s="6" t="s">
        <v>20</v>
      </c>
      <c r="D54" s="6" t="s">
        <v>22</v>
      </c>
      <c r="E54" s="6" t="s">
        <v>15</v>
      </c>
      <c r="F54" s="10">
        <v>5</v>
      </c>
      <c r="G54" s="10">
        <v>1200</v>
      </c>
      <c r="H54" s="10">
        <f t="shared" si="1"/>
        <v>6000</v>
      </c>
    </row>
    <row r="55" spans="1:8" x14ac:dyDescent="0.35">
      <c r="A55" s="4">
        <v>54</v>
      </c>
      <c r="B55" s="5">
        <v>44250</v>
      </c>
      <c r="C55" s="6" t="s">
        <v>20</v>
      </c>
      <c r="D55" s="6" t="s">
        <v>23</v>
      </c>
      <c r="E55" s="6" t="s">
        <v>17</v>
      </c>
      <c r="F55" s="10">
        <v>4</v>
      </c>
      <c r="G55" s="10">
        <v>1500</v>
      </c>
      <c r="H55" s="10">
        <f t="shared" si="1"/>
        <v>6000</v>
      </c>
    </row>
    <row r="56" spans="1:8" x14ac:dyDescent="0.35">
      <c r="A56" s="4">
        <v>55</v>
      </c>
      <c r="B56" s="5">
        <v>44251</v>
      </c>
      <c r="C56" s="6" t="s">
        <v>8</v>
      </c>
      <c r="D56" s="6" t="s">
        <v>9</v>
      </c>
      <c r="E56" s="6" t="s">
        <v>19</v>
      </c>
      <c r="F56" s="10">
        <v>3</v>
      </c>
      <c r="G56" s="10">
        <v>300</v>
      </c>
      <c r="H56" s="10">
        <f t="shared" si="1"/>
        <v>900</v>
      </c>
    </row>
    <row r="57" spans="1:8" x14ac:dyDescent="0.35">
      <c r="A57" s="4">
        <v>56</v>
      </c>
      <c r="B57" s="5">
        <v>44252</v>
      </c>
      <c r="C57" s="6" t="s">
        <v>11</v>
      </c>
      <c r="D57" s="6" t="s">
        <v>12</v>
      </c>
      <c r="E57" s="6" t="s">
        <v>21</v>
      </c>
      <c r="F57" s="10">
        <v>2</v>
      </c>
      <c r="G57" s="10">
        <v>190</v>
      </c>
      <c r="H57" s="10">
        <f t="shared" si="1"/>
        <v>380</v>
      </c>
    </row>
    <row r="58" spans="1:8" x14ac:dyDescent="0.35">
      <c r="A58" s="4">
        <v>57</v>
      </c>
      <c r="B58" s="5">
        <v>44253</v>
      </c>
      <c r="C58" s="6" t="s">
        <v>14</v>
      </c>
      <c r="D58" s="6" t="s">
        <v>9</v>
      </c>
      <c r="E58" s="6" t="s">
        <v>10</v>
      </c>
      <c r="F58" s="10">
        <v>7</v>
      </c>
      <c r="G58" s="10">
        <v>210</v>
      </c>
      <c r="H58" s="10">
        <f t="shared" si="1"/>
        <v>1470</v>
      </c>
    </row>
    <row r="59" spans="1:8" x14ac:dyDescent="0.35">
      <c r="A59" s="4">
        <v>58</v>
      </c>
      <c r="B59" s="5">
        <v>44254</v>
      </c>
      <c r="C59" s="6" t="s">
        <v>16</v>
      </c>
      <c r="D59" s="6" t="s">
        <v>12</v>
      </c>
      <c r="E59" s="6" t="s">
        <v>13</v>
      </c>
      <c r="F59" s="10">
        <v>6</v>
      </c>
      <c r="G59" s="10">
        <v>2100</v>
      </c>
      <c r="H59" s="10">
        <f t="shared" si="1"/>
        <v>12600</v>
      </c>
    </row>
    <row r="60" spans="1:8" x14ac:dyDescent="0.35">
      <c r="A60" s="4">
        <v>59</v>
      </c>
      <c r="B60" s="5">
        <v>44255</v>
      </c>
      <c r="C60" s="6" t="s">
        <v>18</v>
      </c>
      <c r="D60" s="6" t="s">
        <v>9</v>
      </c>
      <c r="E60" s="6" t="s">
        <v>15</v>
      </c>
      <c r="F60" s="10">
        <v>5</v>
      </c>
      <c r="G60" s="10">
        <v>1200</v>
      </c>
      <c r="H60" s="10">
        <f t="shared" si="1"/>
        <v>6000</v>
      </c>
    </row>
    <row r="61" spans="1:8" x14ac:dyDescent="0.35">
      <c r="A61" s="4">
        <v>60</v>
      </c>
      <c r="B61" s="5">
        <v>44256</v>
      </c>
      <c r="C61" s="6" t="s">
        <v>20</v>
      </c>
      <c r="D61" s="6" t="s">
        <v>9</v>
      </c>
      <c r="E61" s="6" t="s">
        <v>17</v>
      </c>
      <c r="F61" s="10">
        <v>4</v>
      </c>
      <c r="G61" s="10">
        <v>1500</v>
      </c>
      <c r="H61" s="10">
        <f t="shared" si="1"/>
        <v>6000</v>
      </c>
    </row>
    <row r="62" spans="1:8" x14ac:dyDescent="0.35">
      <c r="A62" s="4">
        <v>61</v>
      </c>
      <c r="B62" s="5">
        <v>44257</v>
      </c>
      <c r="C62" s="6" t="s">
        <v>8</v>
      </c>
      <c r="D62" s="6" t="s">
        <v>9</v>
      </c>
      <c r="E62" s="6" t="s">
        <v>19</v>
      </c>
      <c r="F62" s="10">
        <v>3</v>
      </c>
      <c r="G62" s="10">
        <v>300</v>
      </c>
      <c r="H62" s="10">
        <f t="shared" si="1"/>
        <v>900</v>
      </c>
    </row>
    <row r="63" spans="1:8" x14ac:dyDescent="0.35">
      <c r="A63" s="4">
        <v>62</v>
      </c>
      <c r="B63" s="5">
        <v>44258</v>
      </c>
      <c r="C63" s="6" t="s">
        <v>11</v>
      </c>
      <c r="D63" s="6" t="s">
        <v>12</v>
      </c>
      <c r="E63" s="6" t="s">
        <v>21</v>
      </c>
      <c r="F63" s="10">
        <v>2</v>
      </c>
      <c r="G63" s="10">
        <v>190</v>
      </c>
      <c r="H63" s="10">
        <f t="shared" si="1"/>
        <v>380</v>
      </c>
    </row>
    <row r="64" spans="1:8" x14ac:dyDescent="0.35">
      <c r="A64" s="4">
        <v>63</v>
      </c>
      <c r="B64" s="5">
        <v>44259</v>
      </c>
      <c r="C64" s="6" t="s">
        <v>14</v>
      </c>
      <c r="D64" s="6" t="s">
        <v>12</v>
      </c>
      <c r="E64" s="6" t="s">
        <v>10</v>
      </c>
      <c r="F64" s="10">
        <v>2</v>
      </c>
      <c r="G64" s="10">
        <v>210</v>
      </c>
      <c r="H64" s="10">
        <f t="shared" si="1"/>
        <v>420</v>
      </c>
    </row>
    <row r="65" spans="1:8" x14ac:dyDescent="0.35">
      <c r="A65" s="4">
        <v>64</v>
      </c>
      <c r="B65" s="5">
        <v>44260</v>
      </c>
      <c r="C65" s="6" t="s">
        <v>16</v>
      </c>
      <c r="D65" s="6" t="s">
        <v>9</v>
      </c>
      <c r="E65" s="6" t="s">
        <v>13</v>
      </c>
      <c r="F65" s="10">
        <v>7</v>
      </c>
      <c r="G65" s="10">
        <v>2100</v>
      </c>
      <c r="H65" s="10">
        <f t="shared" si="1"/>
        <v>14700</v>
      </c>
    </row>
    <row r="66" spans="1:8" x14ac:dyDescent="0.35">
      <c r="A66" s="4">
        <v>65</v>
      </c>
      <c r="B66" s="5">
        <v>44261</v>
      </c>
      <c r="C66" s="6" t="s">
        <v>18</v>
      </c>
      <c r="D66" s="6" t="s">
        <v>9</v>
      </c>
      <c r="E66" s="6" t="s">
        <v>15</v>
      </c>
      <c r="F66" s="10">
        <v>6</v>
      </c>
      <c r="G66" s="10">
        <v>1200</v>
      </c>
      <c r="H66" s="10">
        <f t="shared" si="1"/>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ref="H103:H166" si="2">F103*G103</f>
        <v>12600</v>
      </c>
    </row>
    <row r="104" spans="1:8" x14ac:dyDescent="0.35">
      <c r="A104" s="4">
        <v>103</v>
      </c>
      <c r="B104" s="5">
        <v>44299</v>
      </c>
      <c r="C104" s="6" t="s">
        <v>20</v>
      </c>
      <c r="D104" s="6" t="s">
        <v>22</v>
      </c>
      <c r="E104" s="6" t="s">
        <v>15</v>
      </c>
      <c r="F104" s="10">
        <v>5</v>
      </c>
      <c r="G104" s="10">
        <v>1200</v>
      </c>
      <c r="H104" s="10">
        <f t="shared" si="2"/>
        <v>6000</v>
      </c>
    </row>
    <row r="105" spans="1:8" x14ac:dyDescent="0.35">
      <c r="A105" s="4">
        <v>104</v>
      </c>
      <c r="B105" s="5">
        <v>44300</v>
      </c>
      <c r="C105" s="6" t="s">
        <v>20</v>
      </c>
      <c r="D105" s="6" t="s">
        <v>23</v>
      </c>
      <c r="E105" s="6" t="s">
        <v>13</v>
      </c>
      <c r="F105" s="10">
        <v>6</v>
      </c>
      <c r="G105" s="10">
        <v>2100</v>
      </c>
      <c r="H105" s="10">
        <f t="shared" si="2"/>
        <v>12600</v>
      </c>
    </row>
    <row r="106" spans="1:8" x14ac:dyDescent="0.35">
      <c r="A106" s="4">
        <v>105</v>
      </c>
      <c r="B106" s="5">
        <v>44301</v>
      </c>
      <c r="C106" s="6" t="s">
        <v>20</v>
      </c>
      <c r="D106" s="6" t="s">
        <v>9</v>
      </c>
      <c r="E106" s="6" t="s">
        <v>15</v>
      </c>
      <c r="F106" s="10">
        <v>5</v>
      </c>
      <c r="G106" s="10">
        <v>1200</v>
      </c>
      <c r="H106" s="10">
        <f t="shared" si="2"/>
        <v>6000</v>
      </c>
    </row>
    <row r="107" spans="1:8" x14ac:dyDescent="0.35">
      <c r="A107" s="4">
        <v>106</v>
      </c>
      <c r="B107" s="5">
        <v>44302</v>
      </c>
      <c r="C107" s="6" t="s">
        <v>20</v>
      </c>
      <c r="D107" s="6" t="s">
        <v>12</v>
      </c>
      <c r="E107" s="6" t="s">
        <v>21</v>
      </c>
      <c r="F107" s="10">
        <v>2</v>
      </c>
      <c r="G107" s="10">
        <v>190</v>
      </c>
      <c r="H107" s="10">
        <f t="shared" si="2"/>
        <v>380</v>
      </c>
    </row>
    <row r="108" spans="1:8" x14ac:dyDescent="0.35">
      <c r="A108" s="4">
        <v>107</v>
      </c>
      <c r="B108" s="5">
        <v>44303</v>
      </c>
      <c r="C108" s="6" t="s">
        <v>20</v>
      </c>
      <c r="D108" s="6" t="s">
        <v>22</v>
      </c>
      <c r="E108" s="6" t="s">
        <v>13</v>
      </c>
      <c r="F108" s="10">
        <v>6</v>
      </c>
      <c r="G108" s="10">
        <v>2100</v>
      </c>
      <c r="H108" s="10">
        <f t="shared" si="2"/>
        <v>12600</v>
      </c>
    </row>
    <row r="109" spans="1:8" x14ac:dyDescent="0.35">
      <c r="A109" s="4">
        <v>108</v>
      </c>
      <c r="B109" s="5">
        <v>44304</v>
      </c>
      <c r="C109" s="6" t="s">
        <v>20</v>
      </c>
      <c r="D109" s="6" t="s">
        <v>23</v>
      </c>
      <c r="E109" s="6" t="s">
        <v>15</v>
      </c>
      <c r="F109" s="10">
        <v>5</v>
      </c>
      <c r="G109" s="10">
        <v>1200</v>
      </c>
      <c r="H109" s="10">
        <f t="shared" si="2"/>
        <v>6000</v>
      </c>
    </row>
    <row r="110" spans="1:8" x14ac:dyDescent="0.35">
      <c r="A110" s="4">
        <v>109</v>
      </c>
      <c r="B110" s="5">
        <v>44305</v>
      </c>
      <c r="C110" s="6" t="s">
        <v>8</v>
      </c>
      <c r="D110" s="6" t="s">
        <v>9</v>
      </c>
      <c r="E110" s="6" t="s">
        <v>13</v>
      </c>
      <c r="F110" s="10">
        <v>6</v>
      </c>
      <c r="G110" s="10">
        <v>2100</v>
      </c>
      <c r="H110" s="10">
        <f t="shared" si="2"/>
        <v>12600</v>
      </c>
    </row>
    <row r="111" spans="1:8" x14ac:dyDescent="0.35">
      <c r="A111" s="4">
        <v>110</v>
      </c>
      <c r="B111" s="5">
        <v>44306</v>
      </c>
      <c r="C111" s="6" t="s">
        <v>11</v>
      </c>
      <c r="D111" s="6" t="s">
        <v>12</v>
      </c>
      <c r="E111" s="6" t="s">
        <v>15</v>
      </c>
      <c r="F111" s="10">
        <v>5</v>
      </c>
      <c r="G111" s="10">
        <v>1200</v>
      </c>
      <c r="H111" s="10">
        <f t="shared" si="2"/>
        <v>6000</v>
      </c>
    </row>
    <row r="112" spans="1:8" x14ac:dyDescent="0.35">
      <c r="A112" s="4">
        <v>111</v>
      </c>
      <c r="B112" s="5">
        <v>44307</v>
      </c>
      <c r="C112" s="6" t="s">
        <v>14</v>
      </c>
      <c r="D112" s="6" t="s">
        <v>9</v>
      </c>
      <c r="E112" s="6" t="s">
        <v>13</v>
      </c>
      <c r="F112" s="10">
        <v>6</v>
      </c>
      <c r="G112" s="10">
        <v>2100</v>
      </c>
      <c r="H112" s="10">
        <f t="shared" si="2"/>
        <v>12600</v>
      </c>
    </row>
    <row r="113" spans="1:8" x14ac:dyDescent="0.35">
      <c r="A113" s="4">
        <v>112</v>
      </c>
      <c r="B113" s="5">
        <v>44308</v>
      </c>
      <c r="C113" s="6" t="s">
        <v>16</v>
      </c>
      <c r="D113" s="6" t="s">
        <v>12</v>
      </c>
      <c r="E113" s="6" t="s">
        <v>15</v>
      </c>
      <c r="F113" s="10">
        <v>5</v>
      </c>
      <c r="G113" s="10">
        <v>1200</v>
      </c>
      <c r="H113" s="10">
        <f t="shared" si="2"/>
        <v>6000</v>
      </c>
    </row>
    <row r="114" spans="1:8" x14ac:dyDescent="0.35">
      <c r="A114" s="4">
        <v>113</v>
      </c>
      <c r="B114" s="5">
        <v>44309</v>
      </c>
      <c r="C114" s="6" t="s">
        <v>18</v>
      </c>
      <c r="D114" s="6" t="s">
        <v>9</v>
      </c>
      <c r="E114" s="6" t="s">
        <v>10</v>
      </c>
      <c r="F114" s="10">
        <v>2</v>
      </c>
      <c r="G114" s="10">
        <v>210</v>
      </c>
      <c r="H114" s="10">
        <f t="shared" si="2"/>
        <v>420</v>
      </c>
    </row>
    <row r="115" spans="1:8" x14ac:dyDescent="0.35">
      <c r="A115" s="4">
        <v>114</v>
      </c>
      <c r="B115" s="5">
        <v>44310</v>
      </c>
      <c r="C115" s="6" t="s">
        <v>20</v>
      </c>
      <c r="D115" s="6" t="s">
        <v>9</v>
      </c>
      <c r="E115" s="6" t="s">
        <v>13</v>
      </c>
      <c r="F115" s="10">
        <v>7</v>
      </c>
      <c r="G115" s="10">
        <v>2100</v>
      </c>
      <c r="H115" s="10">
        <f t="shared" si="2"/>
        <v>14700</v>
      </c>
    </row>
    <row r="116" spans="1:8" x14ac:dyDescent="0.35">
      <c r="A116" s="4">
        <v>115</v>
      </c>
      <c r="B116" s="5">
        <v>44311</v>
      </c>
      <c r="C116" s="6" t="s">
        <v>8</v>
      </c>
      <c r="D116" s="6" t="s">
        <v>9</v>
      </c>
      <c r="E116" s="6" t="s">
        <v>15</v>
      </c>
      <c r="F116" s="10">
        <v>6</v>
      </c>
      <c r="G116" s="10">
        <v>1200</v>
      </c>
      <c r="H116" s="10">
        <f t="shared" si="2"/>
        <v>7200</v>
      </c>
    </row>
    <row r="117" spans="1:8" x14ac:dyDescent="0.35">
      <c r="A117" s="4">
        <v>116</v>
      </c>
      <c r="B117" s="5">
        <v>44312</v>
      </c>
      <c r="C117" s="6" t="s">
        <v>11</v>
      </c>
      <c r="D117" s="6" t="s">
        <v>12</v>
      </c>
      <c r="E117" s="6" t="s">
        <v>17</v>
      </c>
      <c r="F117" s="10">
        <v>5</v>
      </c>
      <c r="G117" s="10">
        <v>1500</v>
      </c>
      <c r="H117" s="10">
        <f t="shared" si="2"/>
        <v>7500</v>
      </c>
    </row>
    <row r="118" spans="1:8" x14ac:dyDescent="0.35">
      <c r="A118" s="4">
        <v>117</v>
      </c>
      <c r="B118" s="5">
        <v>44313</v>
      </c>
      <c r="C118" s="6" t="s">
        <v>14</v>
      </c>
      <c r="D118" s="6" t="s">
        <v>12</v>
      </c>
      <c r="E118" s="6" t="s">
        <v>19</v>
      </c>
      <c r="F118" s="10">
        <v>4</v>
      </c>
      <c r="G118" s="10">
        <v>300</v>
      </c>
      <c r="H118" s="10">
        <f t="shared" si="2"/>
        <v>1200</v>
      </c>
    </row>
    <row r="119" spans="1:8" x14ac:dyDescent="0.35">
      <c r="A119" s="4">
        <v>118</v>
      </c>
      <c r="B119" s="5">
        <v>44314</v>
      </c>
      <c r="C119" s="6" t="s">
        <v>16</v>
      </c>
      <c r="D119" s="6" t="s">
        <v>9</v>
      </c>
      <c r="E119" s="6" t="s">
        <v>21</v>
      </c>
      <c r="F119" s="10">
        <v>3</v>
      </c>
      <c r="G119" s="10">
        <v>190</v>
      </c>
      <c r="H119" s="10">
        <f t="shared" si="2"/>
        <v>570</v>
      </c>
    </row>
    <row r="120" spans="1:8" x14ac:dyDescent="0.35">
      <c r="A120" s="4">
        <v>119</v>
      </c>
      <c r="B120" s="5">
        <v>44315</v>
      </c>
      <c r="C120" s="6" t="s">
        <v>18</v>
      </c>
      <c r="D120" s="6" t="s">
        <v>9</v>
      </c>
      <c r="E120" s="6" t="s">
        <v>10</v>
      </c>
      <c r="F120" s="10">
        <v>2</v>
      </c>
      <c r="G120" s="10">
        <v>210</v>
      </c>
      <c r="H120" s="10">
        <f t="shared" si="2"/>
        <v>420</v>
      </c>
    </row>
    <row r="121" spans="1:8" x14ac:dyDescent="0.35">
      <c r="A121" s="4">
        <v>120</v>
      </c>
      <c r="B121" s="5">
        <v>44316</v>
      </c>
      <c r="C121" s="6" t="s">
        <v>20</v>
      </c>
      <c r="D121" s="6" t="s">
        <v>12</v>
      </c>
      <c r="E121" s="6" t="s">
        <v>15</v>
      </c>
      <c r="F121" s="10">
        <v>7</v>
      </c>
      <c r="G121" s="10">
        <v>2100</v>
      </c>
      <c r="H121" s="10">
        <f t="shared" si="2"/>
        <v>14700</v>
      </c>
    </row>
    <row r="122" spans="1:8" x14ac:dyDescent="0.35">
      <c r="A122" s="4">
        <v>121</v>
      </c>
      <c r="B122" s="5">
        <v>44317</v>
      </c>
      <c r="C122" s="6" t="s">
        <v>20</v>
      </c>
      <c r="D122" s="6" t="s">
        <v>9</v>
      </c>
      <c r="E122" s="6" t="s">
        <v>17</v>
      </c>
      <c r="F122" s="10">
        <v>6</v>
      </c>
      <c r="G122" s="10">
        <v>1200</v>
      </c>
      <c r="H122" s="10">
        <f t="shared" si="2"/>
        <v>7200</v>
      </c>
    </row>
    <row r="123" spans="1:8" x14ac:dyDescent="0.35">
      <c r="A123" s="4">
        <v>122</v>
      </c>
      <c r="B123" s="5">
        <v>44318</v>
      </c>
      <c r="C123" s="6" t="s">
        <v>8</v>
      </c>
      <c r="D123" s="6" t="s">
        <v>9</v>
      </c>
      <c r="E123" s="6" t="s">
        <v>19</v>
      </c>
      <c r="F123" s="10">
        <v>5</v>
      </c>
      <c r="G123" s="10">
        <v>300</v>
      </c>
      <c r="H123" s="10">
        <f t="shared" si="2"/>
        <v>1500</v>
      </c>
    </row>
    <row r="124" spans="1:8" x14ac:dyDescent="0.35">
      <c r="A124" s="4">
        <v>123</v>
      </c>
      <c r="B124" s="5">
        <v>44319</v>
      </c>
      <c r="C124" s="6" t="s">
        <v>11</v>
      </c>
      <c r="D124" s="6" t="s">
        <v>9</v>
      </c>
      <c r="E124" s="6" t="s">
        <v>21</v>
      </c>
      <c r="F124" s="10">
        <v>4</v>
      </c>
      <c r="G124" s="10">
        <v>200</v>
      </c>
      <c r="H124" s="10">
        <f t="shared" si="2"/>
        <v>800</v>
      </c>
    </row>
    <row r="125" spans="1:8" x14ac:dyDescent="0.35">
      <c r="A125" s="4">
        <v>124</v>
      </c>
      <c r="B125" s="5">
        <v>44320</v>
      </c>
      <c r="C125" s="6" t="s">
        <v>14</v>
      </c>
      <c r="D125" s="6" t="s">
        <v>9</v>
      </c>
      <c r="E125" s="6" t="s">
        <v>10</v>
      </c>
      <c r="F125" s="10">
        <v>3</v>
      </c>
      <c r="G125" s="10">
        <v>190</v>
      </c>
      <c r="H125" s="10">
        <f t="shared" si="2"/>
        <v>570</v>
      </c>
    </row>
    <row r="126" spans="1:8" x14ac:dyDescent="0.35">
      <c r="A126" s="4">
        <v>125</v>
      </c>
      <c r="B126" s="5">
        <v>44321</v>
      </c>
      <c r="C126" s="6" t="s">
        <v>16</v>
      </c>
      <c r="D126" s="6" t="s">
        <v>9</v>
      </c>
      <c r="E126" s="6" t="s">
        <v>13</v>
      </c>
      <c r="F126" s="10">
        <v>2</v>
      </c>
      <c r="G126" s="10">
        <v>2100</v>
      </c>
      <c r="H126" s="10">
        <f t="shared" si="2"/>
        <v>4200</v>
      </c>
    </row>
    <row r="127" spans="1:8" x14ac:dyDescent="0.35">
      <c r="A127" s="4">
        <v>126</v>
      </c>
      <c r="B127" s="5">
        <v>44322</v>
      </c>
      <c r="C127" s="6" t="s">
        <v>18</v>
      </c>
      <c r="D127" s="6" t="s">
        <v>9</v>
      </c>
      <c r="E127" s="6" t="s">
        <v>10</v>
      </c>
      <c r="F127" s="10">
        <v>7</v>
      </c>
      <c r="G127" s="10">
        <v>210</v>
      </c>
      <c r="H127" s="10">
        <f t="shared" si="2"/>
        <v>1470</v>
      </c>
    </row>
    <row r="128" spans="1:8" x14ac:dyDescent="0.35">
      <c r="A128" s="4">
        <v>127</v>
      </c>
      <c r="B128" s="5">
        <v>44323</v>
      </c>
      <c r="C128" s="6" t="s">
        <v>20</v>
      </c>
      <c r="D128" s="6" t="s">
        <v>9</v>
      </c>
      <c r="E128" s="6" t="s">
        <v>13</v>
      </c>
      <c r="F128" s="10">
        <v>6</v>
      </c>
      <c r="G128" s="10">
        <v>2100</v>
      </c>
      <c r="H128" s="10">
        <f t="shared" si="2"/>
        <v>12600</v>
      </c>
    </row>
    <row r="129" spans="1:8" x14ac:dyDescent="0.35">
      <c r="A129" s="4">
        <v>128</v>
      </c>
      <c r="B129" s="5">
        <v>44324</v>
      </c>
      <c r="C129" s="6" t="s">
        <v>8</v>
      </c>
      <c r="D129" s="6" t="s">
        <v>9</v>
      </c>
      <c r="E129" s="6" t="s">
        <v>15</v>
      </c>
      <c r="F129" s="10">
        <v>5</v>
      </c>
      <c r="G129" s="10">
        <v>1200</v>
      </c>
      <c r="H129" s="10">
        <f t="shared" si="2"/>
        <v>6000</v>
      </c>
    </row>
    <row r="130" spans="1:8" x14ac:dyDescent="0.35">
      <c r="A130" s="4">
        <v>129</v>
      </c>
      <c r="B130" s="5">
        <v>44325</v>
      </c>
      <c r="C130" s="6" t="s">
        <v>11</v>
      </c>
      <c r="D130" s="6" t="s">
        <v>12</v>
      </c>
      <c r="E130" s="6" t="s">
        <v>17</v>
      </c>
      <c r="F130" s="10">
        <v>4</v>
      </c>
      <c r="G130" s="10">
        <v>1500</v>
      </c>
      <c r="H130" s="10">
        <f t="shared" si="2"/>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ref="H167:H230" si="3">F167*G167</f>
        <v>7500</v>
      </c>
    </row>
    <row r="168" spans="1:8" x14ac:dyDescent="0.35">
      <c r="A168" s="4">
        <v>167</v>
      </c>
      <c r="B168" s="5">
        <v>44363</v>
      </c>
      <c r="C168" s="6" t="s">
        <v>18</v>
      </c>
      <c r="D168" s="6" t="s">
        <v>9</v>
      </c>
      <c r="E168" s="6" t="s">
        <v>19</v>
      </c>
      <c r="F168" s="10">
        <v>4</v>
      </c>
      <c r="G168" s="10">
        <v>300</v>
      </c>
      <c r="H168" s="10">
        <f t="shared" si="3"/>
        <v>1200</v>
      </c>
    </row>
    <row r="169" spans="1:8" x14ac:dyDescent="0.35">
      <c r="A169" s="4">
        <v>168</v>
      </c>
      <c r="B169" s="5">
        <v>44364</v>
      </c>
      <c r="C169" s="6" t="s">
        <v>20</v>
      </c>
      <c r="D169" s="6" t="s">
        <v>9</v>
      </c>
      <c r="E169" s="6" t="s">
        <v>21</v>
      </c>
      <c r="F169" s="10">
        <v>3</v>
      </c>
      <c r="G169" s="10">
        <v>190</v>
      </c>
      <c r="H169" s="10">
        <f t="shared" si="3"/>
        <v>570</v>
      </c>
    </row>
    <row r="170" spans="1:8" x14ac:dyDescent="0.35">
      <c r="A170" s="4">
        <v>169</v>
      </c>
      <c r="B170" s="5">
        <v>44365</v>
      </c>
      <c r="C170" s="6" t="s">
        <v>8</v>
      </c>
      <c r="D170" s="6" t="s">
        <v>9</v>
      </c>
      <c r="E170" s="6" t="s">
        <v>10</v>
      </c>
      <c r="F170" s="10">
        <v>2</v>
      </c>
      <c r="G170" s="10">
        <v>210</v>
      </c>
      <c r="H170" s="10">
        <f t="shared" si="3"/>
        <v>420</v>
      </c>
    </row>
    <row r="171" spans="1:8" x14ac:dyDescent="0.35">
      <c r="A171" s="4">
        <v>170</v>
      </c>
      <c r="B171" s="5">
        <v>44366</v>
      </c>
      <c r="C171" s="6" t="s">
        <v>11</v>
      </c>
      <c r="D171" s="6" t="s">
        <v>12</v>
      </c>
      <c r="E171" s="6" t="s">
        <v>15</v>
      </c>
      <c r="F171" s="10">
        <v>7</v>
      </c>
      <c r="G171" s="10">
        <v>2100</v>
      </c>
      <c r="H171" s="10">
        <f t="shared" si="3"/>
        <v>14700</v>
      </c>
    </row>
    <row r="172" spans="1:8" x14ac:dyDescent="0.35">
      <c r="A172" s="4">
        <v>171</v>
      </c>
      <c r="B172" s="5">
        <v>44367</v>
      </c>
      <c r="C172" s="6" t="s">
        <v>14</v>
      </c>
      <c r="D172" s="6" t="s">
        <v>12</v>
      </c>
      <c r="E172" s="6" t="s">
        <v>17</v>
      </c>
      <c r="F172" s="10">
        <v>6</v>
      </c>
      <c r="G172" s="10">
        <v>1200</v>
      </c>
      <c r="H172" s="10">
        <f t="shared" si="3"/>
        <v>7200</v>
      </c>
    </row>
    <row r="173" spans="1:8" x14ac:dyDescent="0.35">
      <c r="A173" s="4">
        <v>172</v>
      </c>
      <c r="B173" s="5">
        <v>44368</v>
      </c>
      <c r="C173" s="6" t="s">
        <v>16</v>
      </c>
      <c r="D173" s="6" t="s">
        <v>9</v>
      </c>
      <c r="E173" s="6" t="s">
        <v>19</v>
      </c>
      <c r="F173" s="10">
        <v>5</v>
      </c>
      <c r="G173" s="10">
        <v>300</v>
      </c>
      <c r="H173" s="10">
        <f t="shared" si="3"/>
        <v>1500</v>
      </c>
    </row>
    <row r="174" spans="1:8" x14ac:dyDescent="0.35">
      <c r="A174" s="4">
        <v>173</v>
      </c>
      <c r="B174" s="5">
        <v>44369</v>
      </c>
      <c r="C174" s="6" t="s">
        <v>18</v>
      </c>
      <c r="D174" s="6" t="s">
        <v>9</v>
      </c>
      <c r="E174" s="6" t="s">
        <v>21</v>
      </c>
      <c r="F174" s="10">
        <v>4</v>
      </c>
      <c r="G174" s="10">
        <v>200</v>
      </c>
      <c r="H174" s="10">
        <f t="shared" si="3"/>
        <v>800</v>
      </c>
    </row>
    <row r="175" spans="1:8" x14ac:dyDescent="0.35">
      <c r="A175" s="4">
        <v>174</v>
      </c>
      <c r="B175" s="5">
        <v>44370</v>
      </c>
      <c r="C175" s="6" t="s">
        <v>20</v>
      </c>
      <c r="D175" s="6" t="s">
        <v>12</v>
      </c>
      <c r="E175" s="6" t="s">
        <v>10</v>
      </c>
      <c r="F175" s="10">
        <v>3</v>
      </c>
      <c r="G175" s="10">
        <v>190</v>
      </c>
      <c r="H175" s="10">
        <f t="shared" si="3"/>
        <v>570</v>
      </c>
    </row>
    <row r="176" spans="1:8" x14ac:dyDescent="0.35">
      <c r="A176" s="4">
        <v>175</v>
      </c>
      <c r="B176" s="5">
        <v>44371</v>
      </c>
      <c r="C176" s="6" t="s">
        <v>20</v>
      </c>
      <c r="D176" s="6" t="s">
        <v>9</v>
      </c>
      <c r="E176" s="6" t="s">
        <v>13</v>
      </c>
      <c r="F176" s="10">
        <v>2</v>
      </c>
      <c r="G176" s="10">
        <v>2100</v>
      </c>
      <c r="H176" s="10">
        <f t="shared" si="3"/>
        <v>4200</v>
      </c>
    </row>
    <row r="177" spans="1:8" x14ac:dyDescent="0.35">
      <c r="A177" s="4">
        <v>176</v>
      </c>
      <c r="B177" s="5">
        <v>44372</v>
      </c>
      <c r="C177" s="6" t="s">
        <v>8</v>
      </c>
      <c r="D177" s="6" t="s">
        <v>9</v>
      </c>
      <c r="E177" s="6" t="s">
        <v>10</v>
      </c>
      <c r="F177" s="10">
        <v>7</v>
      </c>
      <c r="G177" s="10">
        <v>210</v>
      </c>
      <c r="H177" s="10">
        <f t="shared" si="3"/>
        <v>1470</v>
      </c>
    </row>
    <row r="178" spans="1:8" x14ac:dyDescent="0.35">
      <c r="A178" s="4">
        <v>177</v>
      </c>
      <c r="B178" s="5">
        <v>44373</v>
      </c>
      <c r="C178" s="6" t="s">
        <v>11</v>
      </c>
      <c r="D178" s="6" t="s">
        <v>9</v>
      </c>
      <c r="E178" s="6" t="s">
        <v>10</v>
      </c>
      <c r="F178" s="10">
        <v>3</v>
      </c>
      <c r="G178" s="10">
        <v>190</v>
      </c>
      <c r="H178" s="10">
        <f t="shared" si="3"/>
        <v>570</v>
      </c>
    </row>
    <row r="179" spans="1:8" x14ac:dyDescent="0.35">
      <c r="A179" s="4">
        <v>178</v>
      </c>
      <c r="B179" s="5">
        <v>44374</v>
      </c>
      <c r="C179" s="6" t="s">
        <v>14</v>
      </c>
      <c r="D179" s="6" t="s">
        <v>9</v>
      </c>
      <c r="E179" s="6" t="s">
        <v>10</v>
      </c>
      <c r="F179" s="10">
        <v>3</v>
      </c>
      <c r="G179" s="10">
        <v>190</v>
      </c>
      <c r="H179" s="10">
        <f t="shared" si="3"/>
        <v>570</v>
      </c>
    </row>
    <row r="180" spans="1:8" x14ac:dyDescent="0.35">
      <c r="A180" s="4">
        <v>179</v>
      </c>
      <c r="B180" s="5">
        <v>44375</v>
      </c>
      <c r="C180" s="6" t="s">
        <v>16</v>
      </c>
      <c r="D180" s="6" t="s">
        <v>9</v>
      </c>
      <c r="E180" s="6" t="s">
        <v>10</v>
      </c>
      <c r="F180" s="10">
        <v>3</v>
      </c>
      <c r="G180" s="10">
        <v>190</v>
      </c>
      <c r="H180" s="10">
        <f t="shared" si="3"/>
        <v>570</v>
      </c>
    </row>
    <row r="181" spans="1:8" x14ac:dyDescent="0.35">
      <c r="A181" s="4">
        <v>180</v>
      </c>
      <c r="B181" s="5">
        <v>44376</v>
      </c>
      <c r="C181" s="6" t="s">
        <v>18</v>
      </c>
      <c r="D181" s="6" t="s">
        <v>9</v>
      </c>
      <c r="E181" s="6" t="s">
        <v>10</v>
      </c>
      <c r="F181" s="10">
        <v>3</v>
      </c>
      <c r="G181" s="10">
        <v>190</v>
      </c>
      <c r="H181" s="10">
        <f t="shared" si="3"/>
        <v>570</v>
      </c>
    </row>
    <row r="182" spans="1:8" x14ac:dyDescent="0.35">
      <c r="A182" s="4">
        <v>181</v>
      </c>
      <c r="B182" s="5">
        <v>44377</v>
      </c>
      <c r="C182" s="6" t="s">
        <v>20</v>
      </c>
      <c r="D182" s="6" t="s">
        <v>9</v>
      </c>
      <c r="E182" s="6" t="s">
        <v>10</v>
      </c>
      <c r="F182" s="10">
        <v>3</v>
      </c>
      <c r="G182" s="10">
        <v>190</v>
      </c>
      <c r="H182" s="10">
        <f t="shared" si="3"/>
        <v>570</v>
      </c>
    </row>
    <row r="183" spans="1:8" x14ac:dyDescent="0.35">
      <c r="A183" s="4">
        <v>182</v>
      </c>
      <c r="B183" s="5">
        <v>44378</v>
      </c>
      <c r="C183" s="6" t="s">
        <v>8</v>
      </c>
      <c r="D183" s="6" t="s">
        <v>9</v>
      </c>
      <c r="E183" s="6" t="s">
        <v>10</v>
      </c>
      <c r="F183" s="10">
        <v>3</v>
      </c>
      <c r="G183" s="10">
        <v>190</v>
      </c>
      <c r="H183" s="10">
        <f t="shared" si="3"/>
        <v>570</v>
      </c>
    </row>
    <row r="184" spans="1:8" x14ac:dyDescent="0.35">
      <c r="A184" s="4">
        <v>183</v>
      </c>
      <c r="B184" s="5">
        <v>44379</v>
      </c>
      <c r="C184" s="6" t="s">
        <v>11</v>
      </c>
      <c r="D184" s="6" t="s">
        <v>12</v>
      </c>
      <c r="E184" s="6" t="s">
        <v>10</v>
      </c>
      <c r="F184" s="10">
        <v>3</v>
      </c>
      <c r="G184" s="10">
        <v>190</v>
      </c>
      <c r="H184" s="10">
        <f t="shared" si="3"/>
        <v>570</v>
      </c>
    </row>
    <row r="185" spans="1:8" x14ac:dyDescent="0.35">
      <c r="A185" s="4">
        <v>184</v>
      </c>
      <c r="B185" s="5">
        <v>44380</v>
      </c>
      <c r="C185" s="6" t="s">
        <v>14</v>
      </c>
      <c r="D185" s="6" t="s">
        <v>9</v>
      </c>
      <c r="E185" s="6" t="s">
        <v>15</v>
      </c>
      <c r="F185" s="10">
        <v>5</v>
      </c>
      <c r="G185" s="10">
        <v>1200</v>
      </c>
      <c r="H185" s="10">
        <f t="shared" si="3"/>
        <v>6000</v>
      </c>
    </row>
    <row r="186" spans="1:8" x14ac:dyDescent="0.35">
      <c r="A186" s="4">
        <v>185</v>
      </c>
      <c r="B186" s="5">
        <v>44381</v>
      </c>
      <c r="C186" s="6" t="s">
        <v>16</v>
      </c>
      <c r="D186" s="6" t="s">
        <v>12</v>
      </c>
      <c r="E186" s="6" t="s">
        <v>17</v>
      </c>
      <c r="F186" s="10">
        <v>4</v>
      </c>
      <c r="G186" s="10">
        <v>1500</v>
      </c>
      <c r="H186" s="10">
        <f t="shared" si="3"/>
        <v>6000</v>
      </c>
    </row>
    <row r="187" spans="1:8" x14ac:dyDescent="0.35">
      <c r="A187" s="4">
        <v>186</v>
      </c>
      <c r="B187" s="5">
        <v>44382</v>
      </c>
      <c r="C187" s="6" t="s">
        <v>18</v>
      </c>
      <c r="D187" s="6" t="s">
        <v>9</v>
      </c>
      <c r="E187" s="6" t="s">
        <v>19</v>
      </c>
      <c r="F187" s="10">
        <v>3</v>
      </c>
      <c r="G187" s="10">
        <v>300</v>
      </c>
      <c r="H187" s="10">
        <f t="shared" si="3"/>
        <v>900</v>
      </c>
    </row>
    <row r="188" spans="1:8" x14ac:dyDescent="0.35">
      <c r="A188" s="4">
        <v>187</v>
      </c>
      <c r="B188" s="5">
        <v>44383</v>
      </c>
      <c r="C188" s="6" t="s">
        <v>20</v>
      </c>
      <c r="D188" s="6" t="s">
        <v>9</v>
      </c>
      <c r="E188" s="6" t="s">
        <v>21</v>
      </c>
      <c r="F188" s="10">
        <v>2</v>
      </c>
      <c r="G188" s="10">
        <v>190</v>
      </c>
      <c r="H188" s="10">
        <f t="shared" si="3"/>
        <v>380</v>
      </c>
    </row>
    <row r="189" spans="1:8" x14ac:dyDescent="0.35">
      <c r="A189" s="4">
        <v>188</v>
      </c>
      <c r="B189" s="5">
        <v>44384</v>
      </c>
      <c r="C189" s="6" t="s">
        <v>20</v>
      </c>
      <c r="D189" s="6" t="s">
        <v>9</v>
      </c>
      <c r="E189" s="6" t="s">
        <v>10</v>
      </c>
      <c r="F189" s="10">
        <v>2</v>
      </c>
      <c r="G189" s="10">
        <v>210</v>
      </c>
      <c r="H189" s="10">
        <f t="shared" si="3"/>
        <v>420</v>
      </c>
    </row>
    <row r="190" spans="1:8" x14ac:dyDescent="0.35">
      <c r="A190" s="4">
        <v>189</v>
      </c>
      <c r="B190" s="5">
        <v>44385</v>
      </c>
      <c r="C190" s="6" t="s">
        <v>8</v>
      </c>
      <c r="D190" s="6" t="s">
        <v>9</v>
      </c>
      <c r="E190" s="6" t="s">
        <v>13</v>
      </c>
      <c r="F190" s="10">
        <v>7</v>
      </c>
      <c r="G190" s="10">
        <v>2100</v>
      </c>
      <c r="H190" s="10">
        <f t="shared" si="3"/>
        <v>14700</v>
      </c>
    </row>
    <row r="191" spans="1:8" x14ac:dyDescent="0.35">
      <c r="A191" s="4">
        <v>190</v>
      </c>
      <c r="B191" s="5">
        <v>44386</v>
      </c>
      <c r="C191" s="6" t="s">
        <v>8</v>
      </c>
      <c r="D191" s="6" t="s">
        <v>12</v>
      </c>
      <c r="E191" s="6" t="s">
        <v>15</v>
      </c>
      <c r="F191" s="10">
        <v>6</v>
      </c>
      <c r="G191" s="10">
        <v>1200</v>
      </c>
      <c r="H191" s="10">
        <f t="shared" si="3"/>
        <v>7200</v>
      </c>
    </row>
    <row r="192" spans="1:8" x14ac:dyDescent="0.35">
      <c r="A192" s="4">
        <v>191</v>
      </c>
      <c r="B192" s="5">
        <v>44387</v>
      </c>
      <c r="C192" s="6" t="s">
        <v>8</v>
      </c>
      <c r="D192" s="6" t="s">
        <v>22</v>
      </c>
      <c r="E192" s="6" t="s">
        <v>17</v>
      </c>
      <c r="F192" s="10">
        <v>5</v>
      </c>
      <c r="G192" s="10">
        <v>1500</v>
      </c>
      <c r="H192" s="10">
        <f t="shared" si="3"/>
        <v>7500</v>
      </c>
    </row>
    <row r="193" spans="1:8" x14ac:dyDescent="0.35">
      <c r="A193" s="4">
        <v>192</v>
      </c>
      <c r="B193" s="5">
        <v>44388</v>
      </c>
      <c r="C193" s="6" t="s">
        <v>8</v>
      </c>
      <c r="D193" s="6" t="s">
        <v>23</v>
      </c>
      <c r="E193" s="6" t="s">
        <v>19</v>
      </c>
      <c r="F193" s="10">
        <v>4</v>
      </c>
      <c r="G193" s="10">
        <v>300</v>
      </c>
      <c r="H193" s="10">
        <f t="shared" si="3"/>
        <v>1200</v>
      </c>
    </row>
    <row r="194" spans="1:8" x14ac:dyDescent="0.35">
      <c r="A194" s="4">
        <v>193</v>
      </c>
      <c r="B194" s="5">
        <v>44389</v>
      </c>
      <c r="C194" s="6" t="s">
        <v>8</v>
      </c>
      <c r="D194" s="6" t="s">
        <v>9</v>
      </c>
      <c r="E194" s="6" t="s">
        <v>21</v>
      </c>
      <c r="F194" s="10">
        <v>3</v>
      </c>
      <c r="G194" s="10">
        <v>190</v>
      </c>
      <c r="H194" s="10">
        <f t="shared" si="3"/>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ref="H231:H262" si="4">F231*G231</f>
        <v>900</v>
      </c>
    </row>
    <row r="232" spans="1:8" x14ac:dyDescent="0.35">
      <c r="A232" s="4">
        <v>231</v>
      </c>
      <c r="B232" s="5">
        <v>44427</v>
      </c>
      <c r="C232" s="6" t="s">
        <v>11</v>
      </c>
      <c r="D232" s="6" t="s">
        <v>9</v>
      </c>
      <c r="E232" s="6" t="s">
        <v>21</v>
      </c>
      <c r="F232" s="10">
        <v>2</v>
      </c>
      <c r="G232" s="10">
        <v>190</v>
      </c>
      <c r="H232" s="10">
        <f t="shared" si="4"/>
        <v>380</v>
      </c>
    </row>
    <row r="233" spans="1:8" x14ac:dyDescent="0.35">
      <c r="A233" s="4">
        <v>232</v>
      </c>
      <c r="B233" s="5">
        <v>44428</v>
      </c>
      <c r="C233" s="6" t="s">
        <v>14</v>
      </c>
      <c r="D233" s="6" t="s">
        <v>9</v>
      </c>
      <c r="E233" s="6" t="s">
        <v>10</v>
      </c>
      <c r="F233" s="10">
        <v>7</v>
      </c>
      <c r="G233" s="10">
        <v>210</v>
      </c>
      <c r="H233" s="10">
        <f t="shared" si="4"/>
        <v>1470</v>
      </c>
    </row>
    <row r="234" spans="1:8" x14ac:dyDescent="0.35">
      <c r="A234" s="4">
        <v>233</v>
      </c>
      <c r="B234" s="5">
        <v>44429</v>
      </c>
      <c r="C234" s="6" t="s">
        <v>16</v>
      </c>
      <c r="D234" s="6" t="s">
        <v>9</v>
      </c>
      <c r="E234" s="6" t="s">
        <v>13</v>
      </c>
      <c r="F234" s="10">
        <v>6</v>
      </c>
      <c r="G234" s="10">
        <v>2100</v>
      </c>
      <c r="H234" s="10">
        <f t="shared" si="4"/>
        <v>12600</v>
      </c>
    </row>
    <row r="235" spans="1:8" x14ac:dyDescent="0.35">
      <c r="A235" s="4">
        <v>234</v>
      </c>
      <c r="B235" s="5">
        <v>44430</v>
      </c>
      <c r="C235" s="6" t="s">
        <v>18</v>
      </c>
      <c r="D235" s="6" t="s">
        <v>9</v>
      </c>
      <c r="E235" s="6" t="s">
        <v>13</v>
      </c>
      <c r="F235" s="10">
        <v>7</v>
      </c>
      <c r="G235" s="10">
        <v>2100</v>
      </c>
      <c r="H235" s="10">
        <f t="shared" si="4"/>
        <v>14700</v>
      </c>
    </row>
    <row r="236" spans="1:8" x14ac:dyDescent="0.35">
      <c r="A236" s="4">
        <v>235</v>
      </c>
      <c r="B236" s="5">
        <v>44431</v>
      </c>
      <c r="C236" s="6" t="s">
        <v>20</v>
      </c>
      <c r="D236" s="6" t="s">
        <v>9</v>
      </c>
      <c r="E236" s="6" t="s">
        <v>17</v>
      </c>
      <c r="F236" s="10">
        <v>4</v>
      </c>
      <c r="G236" s="10">
        <v>1500</v>
      </c>
      <c r="H236" s="10">
        <f t="shared" si="4"/>
        <v>6000</v>
      </c>
    </row>
    <row r="237" spans="1:8" x14ac:dyDescent="0.35">
      <c r="A237" s="4">
        <v>236</v>
      </c>
      <c r="B237" s="5">
        <v>44432</v>
      </c>
      <c r="C237" s="6" t="s">
        <v>8</v>
      </c>
      <c r="D237" s="6" t="s">
        <v>9</v>
      </c>
      <c r="E237" s="6" t="s">
        <v>19</v>
      </c>
      <c r="F237" s="10">
        <v>3</v>
      </c>
      <c r="G237" s="10">
        <v>300</v>
      </c>
      <c r="H237" s="10">
        <f t="shared" si="4"/>
        <v>900</v>
      </c>
    </row>
    <row r="238" spans="1:8" x14ac:dyDescent="0.35">
      <c r="A238" s="4">
        <v>237</v>
      </c>
      <c r="B238" s="5">
        <v>44433</v>
      </c>
      <c r="C238" s="6" t="s">
        <v>11</v>
      </c>
      <c r="D238" s="6" t="s">
        <v>12</v>
      </c>
      <c r="E238" s="6" t="s">
        <v>21</v>
      </c>
      <c r="F238" s="10">
        <v>2</v>
      </c>
      <c r="G238" s="10">
        <v>190</v>
      </c>
      <c r="H238" s="10">
        <f t="shared" si="4"/>
        <v>380</v>
      </c>
    </row>
    <row r="239" spans="1:8" x14ac:dyDescent="0.35">
      <c r="A239" s="4">
        <v>238</v>
      </c>
      <c r="B239" s="5">
        <v>44434</v>
      </c>
      <c r="C239" s="6" t="s">
        <v>14</v>
      </c>
      <c r="D239" s="6" t="s">
        <v>9</v>
      </c>
      <c r="E239" s="6" t="s">
        <v>10</v>
      </c>
      <c r="F239" s="10">
        <v>2</v>
      </c>
      <c r="G239" s="10">
        <v>210</v>
      </c>
      <c r="H239" s="10">
        <f t="shared" si="4"/>
        <v>420</v>
      </c>
    </row>
    <row r="240" spans="1:8" x14ac:dyDescent="0.35">
      <c r="A240" s="4">
        <v>239</v>
      </c>
      <c r="B240" s="5">
        <v>44435</v>
      </c>
      <c r="C240" s="6" t="s">
        <v>16</v>
      </c>
      <c r="D240" s="6" t="s">
        <v>12</v>
      </c>
      <c r="E240" s="6" t="s">
        <v>13</v>
      </c>
      <c r="F240" s="10">
        <v>7</v>
      </c>
      <c r="G240" s="10">
        <v>2100</v>
      </c>
      <c r="H240" s="10">
        <f t="shared" si="4"/>
        <v>14700</v>
      </c>
    </row>
    <row r="241" spans="1:8" x14ac:dyDescent="0.35">
      <c r="A241" s="4">
        <v>240</v>
      </c>
      <c r="B241" s="5">
        <v>44436</v>
      </c>
      <c r="C241" s="6" t="s">
        <v>18</v>
      </c>
      <c r="D241" s="6" t="s">
        <v>9</v>
      </c>
      <c r="E241" s="6" t="s">
        <v>15</v>
      </c>
      <c r="F241" s="10">
        <v>6</v>
      </c>
      <c r="G241" s="10">
        <v>1200</v>
      </c>
      <c r="H241" s="10">
        <f t="shared" si="4"/>
        <v>7200</v>
      </c>
    </row>
    <row r="242" spans="1:8" x14ac:dyDescent="0.35">
      <c r="A242" s="4">
        <v>241</v>
      </c>
      <c r="B242" s="5">
        <v>44437</v>
      </c>
      <c r="C242" s="6" t="s">
        <v>20</v>
      </c>
      <c r="D242" s="6" t="s">
        <v>9</v>
      </c>
      <c r="E242" s="6" t="s">
        <v>17</v>
      </c>
      <c r="F242" s="10">
        <v>5</v>
      </c>
      <c r="G242" s="10">
        <v>1500</v>
      </c>
      <c r="H242" s="10">
        <f t="shared" si="4"/>
        <v>7500</v>
      </c>
    </row>
    <row r="243" spans="1:8" x14ac:dyDescent="0.35">
      <c r="A243" s="4">
        <v>242</v>
      </c>
      <c r="B243" s="5">
        <v>44438</v>
      </c>
      <c r="C243" s="6" t="s">
        <v>20</v>
      </c>
      <c r="D243" s="6" t="s">
        <v>9</v>
      </c>
      <c r="E243" s="6" t="s">
        <v>19</v>
      </c>
      <c r="F243" s="10">
        <v>4</v>
      </c>
      <c r="G243" s="10">
        <v>300</v>
      </c>
      <c r="H243" s="10">
        <f t="shared" si="4"/>
        <v>1200</v>
      </c>
    </row>
    <row r="244" spans="1:8" x14ac:dyDescent="0.35">
      <c r="A244" s="4">
        <v>243</v>
      </c>
      <c r="B244" s="5">
        <v>44439</v>
      </c>
      <c r="C244" s="6" t="s">
        <v>8</v>
      </c>
      <c r="D244" s="6" t="s">
        <v>9</v>
      </c>
      <c r="E244" s="6" t="s">
        <v>19</v>
      </c>
      <c r="F244" s="10">
        <v>3</v>
      </c>
      <c r="G244" s="10">
        <v>300</v>
      </c>
      <c r="H244" s="10">
        <f t="shared" si="4"/>
        <v>900</v>
      </c>
    </row>
    <row r="245" spans="1:8" x14ac:dyDescent="0.35">
      <c r="A245" s="4">
        <v>244</v>
      </c>
      <c r="B245" s="5">
        <v>44440</v>
      </c>
      <c r="C245" s="6" t="s">
        <v>8</v>
      </c>
      <c r="D245" s="6" t="s">
        <v>12</v>
      </c>
      <c r="E245" s="6" t="s">
        <v>21</v>
      </c>
      <c r="F245" s="10">
        <v>2</v>
      </c>
      <c r="G245" s="10">
        <v>190</v>
      </c>
      <c r="H245" s="10">
        <f t="shared" si="4"/>
        <v>380</v>
      </c>
    </row>
    <row r="246" spans="1:8" x14ac:dyDescent="0.35">
      <c r="A246" s="4">
        <v>245</v>
      </c>
      <c r="B246" s="5">
        <v>44441</v>
      </c>
      <c r="C246" s="6" t="s">
        <v>8</v>
      </c>
      <c r="D246" s="6" t="s">
        <v>22</v>
      </c>
      <c r="E246" s="6" t="s">
        <v>10</v>
      </c>
      <c r="F246" s="10">
        <v>2</v>
      </c>
      <c r="G246" s="10">
        <v>210</v>
      </c>
      <c r="H246" s="10">
        <f t="shared" si="4"/>
        <v>420</v>
      </c>
    </row>
    <row r="247" spans="1:8" x14ac:dyDescent="0.35">
      <c r="A247" s="4">
        <v>246</v>
      </c>
      <c r="B247" s="5">
        <v>44442</v>
      </c>
      <c r="C247" s="6" t="s">
        <v>8</v>
      </c>
      <c r="D247" s="6" t="s">
        <v>23</v>
      </c>
      <c r="E247" s="6" t="s">
        <v>13</v>
      </c>
      <c r="F247" s="10">
        <v>7</v>
      </c>
      <c r="G247" s="10">
        <v>2100</v>
      </c>
      <c r="H247" s="10">
        <f t="shared" si="4"/>
        <v>14700</v>
      </c>
    </row>
    <row r="248" spans="1:8" x14ac:dyDescent="0.35">
      <c r="A248" s="4">
        <v>247</v>
      </c>
      <c r="B248" s="5">
        <v>44443</v>
      </c>
      <c r="C248" s="6" t="s">
        <v>8</v>
      </c>
      <c r="D248" s="6" t="s">
        <v>9</v>
      </c>
      <c r="E248" s="6" t="s">
        <v>15</v>
      </c>
      <c r="F248" s="10">
        <v>6</v>
      </c>
      <c r="G248" s="10">
        <v>1200</v>
      </c>
      <c r="H248" s="10">
        <f t="shared" si="4"/>
        <v>7200</v>
      </c>
    </row>
    <row r="249" spans="1:8" x14ac:dyDescent="0.35">
      <c r="A249" s="4">
        <v>248</v>
      </c>
      <c r="B249" s="5">
        <v>44444</v>
      </c>
      <c r="C249" s="6" t="s">
        <v>8</v>
      </c>
      <c r="D249" s="6" t="s">
        <v>12</v>
      </c>
      <c r="E249" s="6" t="s">
        <v>17</v>
      </c>
      <c r="F249" s="10">
        <v>5</v>
      </c>
      <c r="G249" s="10">
        <v>1500</v>
      </c>
      <c r="H249" s="10">
        <f t="shared" si="4"/>
        <v>7500</v>
      </c>
    </row>
    <row r="250" spans="1:8" x14ac:dyDescent="0.35">
      <c r="A250" s="4">
        <v>249</v>
      </c>
      <c r="B250" s="5">
        <v>44445</v>
      </c>
      <c r="C250" s="6" t="s">
        <v>8</v>
      </c>
      <c r="D250" s="6" t="s">
        <v>22</v>
      </c>
      <c r="E250" s="6" t="s">
        <v>19</v>
      </c>
      <c r="F250" s="10">
        <v>4</v>
      </c>
      <c r="G250" s="10">
        <v>300</v>
      </c>
      <c r="H250" s="10">
        <f t="shared" si="4"/>
        <v>1200</v>
      </c>
    </row>
    <row r="251" spans="1:8" x14ac:dyDescent="0.35">
      <c r="A251" s="4">
        <v>250</v>
      </c>
      <c r="B251" s="5">
        <v>44446</v>
      </c>
      <c r="C251" s="6" t="s">
        <v>8</v>
      </c>
      <c r="D251" s="6" t="s">
        <v>23</v>
      </c>
      <c r="E251" s="6" t="s">
        <v>19</v>
      </c>
      <c r="F251" s="10">
        <v>3</v>
      </c>
      <c r="G251" s="10">
        <v>300</v>
      </c>
      <c r="H251" s="10">
        <f t="shared" si="4"/>
        <v>900</v>
      </c>
    </row>
    <row r="252" spans="1:8" x14ac:dyDescent="0.35">
      <c r="A252" s="4">
        <v>251</v>
      </c>
      <c r="B252" s="5">
        <v>44447</v>
      </c>
      <c r="C252" s="6" t="s">
        <v>11</v>
      </c>
      <c r="D252" s="6" t="s">
        <v>12</v>
      </c>
      <c r="E252" s="6" t="s">
        <v>21</v>
      </c>
      <c r="F252" s="10">
        <v>2</v>
      </c>
      <c r="G252" s="10">
        <v>190</v>
      </c>
      <c r="H252" s="10">
        <f t="shared" si="4"/>
        <v>380</v>
      </c>
    </row>
    <row r="253" spans="1:8" x14ac:dyDescent="0.35">
      <c r="A253" s="4">
        <v>252</v>
      </c>
      <c r="B253" s="5">
        <v>44448</v>
      </c>
      <c r="C253" s="6" t="s">
        <v>11</v>
      </c>
      <c r="D253" s="6" t="s">
        <v>9</v>
      </c>
      <c r="E253" s="6" t="s">
        <v>10</v>
      </c>
      <c r="F253" s="10">
        <v>2</v>
      </c>
      <c r="G253" s="10">
        <v>210</v>
      </c>
      <c r="H253" s="10">
        <f t="shared" si="4"/>
        <v>420</v>
      </c>
    </row>
    <row r="254" spans="1:8" x14ac:dyDescent="0.35">
      <c r="A254" s="4">
        <v>253</v>
      </c>
      <c r="B254" s="5">
        <v>44449</v>
      </c>
      <c r="C254" s="6" t="s">
        <v>11</v>
      </c>
      <c r="D254" s="6" t="s">
        <v>22</v>
      </c>
      <c r="E254" s="6" t="s">
        <v>13</v>
      </c>
      <c r="F254" s="10">
        <v>7</v>
      </c>
      <c r="G254" s="10">
        <v>2100</v>
      </c>
      <c r="H254" s="10">
        <f t="shared" si="4"/>
        <v>14700</v>
      </c>
    </row>
    <row r="255" spans="1:8" x14ac:dyDescent="0.35">
      <c r="A255" s="4">
        <v>254</v>
      </c>
      <c r="B255" s="5">
        <v>44450</v>
      </c>
      <c r="C255" s="6" t="s">
        <v>11</v>
      </c>
      <c r="D255" s="6" t="s">
        <v>23</v>
      </c>
      <c r="E255" s="6" t="s">
        <v>15</v>
      </c>
      <c r="F255" s="10">
        <v>6</v>
      </c>
      <c r="G255" s="10">
        <v>1200</v>
      </c>
      <c r="H255" s="10">
        <f t="shared" si="4"/>
        <v>7200</v>
      </c>
    </row>
    <row r="256" spans="1:8" x14ac:dyDescent="0.35">
      <c r="A256" s="4">
        <v>255</v>
      </c>
      <c r="B256" s="5">
        <v>44451</v>
      </c>
      <c r="C256" s="6" t="s">
        <v>11</v>
      </c>
      <c r="D256" s="6" t="s">
        <v>12</v>
      </c>
      <c r="E256" s="6" t="s">
        <v>17</v>
      </c>
      <c r="F256" s="10">
        <v>5</v>
      </c>
      <c r="G256" s="10">
        <v>1500</v>
      </c>
      <c r="H256" s="10">
        <f t="shared" si="4"/>
        <v>7500</v>
      </c>
    </row>
    <row r="257" spans="1:8" x14ac:dyDescent="0.35">
      <c r="A257" s="4">
        <v>256</v>
      </c>
      <c r="B257" s="5">
        <v>44452</v>
      </c>
      <c r="C257" s="6" t="s">
        <v>11</v>
      </c>
      <c r="D257" s="6" t="s">
        <v>9</v>
      </c>
      <c r="E257" s="6" t="s">
        <v>19</v>
      </c>
      <c r="F257" s="10">
        <v>4</v>
      </c>
      <c r="G257" s="10">
        <v>300</v>
      </c>
      <c r="H257" s="10">
        <f t="shared" si="4"/>
        <v>1200</v>
      </c>
    </row>
    <row r="258" spans="1:8" x14ac:dyDescent="0.35">
      <c r="A258" s="4">
        <v>257</v>
      </c>
      <c r="B258" s="5">
        <v>44453</v>
      </c>
      <c r="C258" s="6" t="s">
        <v>11</v>
      </c>
      <c r="D258" s="6" t="s">
        <v>22</v>
      </c>
      <c r="E258" s="6" t="s">
        <v>10</v>
      </c>
      <c r="F258" s="10">
        <v>7</v>
      </c>
      <c r="G258" s="10">
        <v>210</v>
      </c>
      <c r="H258" s="10">
        <f t="shared" si="4"/>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ref="H263:H322" si="5">F263*G263</f>
        <v>380</v>
      </c>
    </row>
    <row r="264" spans="1:8" x14ac:dyDescent="0.35">
      <c r="A264" s="4">
        <v>263</v>
      </c>
      <c r="B264" s="5">
        <v>44459</v>
      </c>
      <c r="C264" s="6" t="s">
        <v>20</v>
      </c>
      <c r="D264" s="6" t="s">
        <v>9</v>
      </c>
      <c r="E264" s="6" t="s">
        <v>10</v>
      </c>
      <c r="F264" s="10">
        <v>2</v>
      </c>
      <c r="G264" s="10">
        <v>210</v>
      </c>
      <c r="H264" s="10">
        <f t="shared" si="5"/>
        <v>420</v>
      </c>
    </row>
    <row r="265" spans="1:8" x14ac:dyDescent="0.35">
      <c r="A265" s="4">
        <v>264</v>
      </c>
      <c r="B265" s="5">
        <v>44460</v>
      </c>
      <c r="C265" s="6" t="s">
        <v>20</v>
      </c>
      <c r="D265" s="6" t="s">
        <v>12</v>
      </c>
      <c r="E265" s="6" t="s">
        <v>13</v>
      </c>
      <c r="F265" s="10">
        <v>7</v>
      </c>
      <c r="G265" s="10">
        <v>2100</v>
      </c>
      <c r="H265" s="10">
        <f t="shared" si="5"/>
        <v>14700</v>
      </c>
    </row>
    <row r="266" spans="1:8" x14ac:dyDescent="0.35">
      <c r="A266" s="4">
        <v>265</v>
      </c>
      <c r="B266" s="5">
        <v>44461</v>
      </c>
      <c r="C266" s="6" t="s">
        <v>20</v>
      </c>
      <c r="D266" s="6" t="s">
        <v>22</v>
      </c>
      <c r="E266" s="6" t="s">
        <v>15</v>
      </c>
      <c r="F266" s="10">
        <v>6</v>
      </c>
      <c r="G266" s="10">
        <v>1200</v>
      </c>
      <c r="H266" s="10">
        <f t="shared" si="5"/>
        <v>7200</v>
      </c>
    </row>
    <row r="267" spans="1:8" x14ac:dyDescent="0.35">
      <c r="A267" s="4">
        <v>266</v>
      </c>
      <c r="B267" s="5">
        <v>44462</v>
      </c>
      <c r="C267" s="6" t="s">
        <v>20</v>
      </c>
      <c r="D267" s="6" t="s">
        <v>23</v>
      </c>
      <c r="E267" s="6" t="s">
        <v>17</v>
      </c>
      <c r="F267" s="10">
        <v>5</v>
      </c>
      <c r="G267" s="10">
        <v>1500</v>
      </c>
      <c r="H267" s="10">
        <f t="shared" si="5"/>
        <v>7500</v>
      </c>
    </row>
    <row r="268" spans="1:8" x14ac:dyDescent="0.35">
      <c r="A268" s="4">
        <v>267</v>
      </c>
      <c r="B268" s="5">
        <v>44463</v>
      </c>
      <c r="C268" s="6" t="s">
        <v>20</v>
      </c>
      <c r="D268" s="6" t="s">
        <v>9</v>
      </c>
      <c r="E268" s="6" t="s">
        <v>13</v>
      </c>
      <c r="F268" s="10">
        <v>7</v>
      </c>
      <c r="G268" s="10">
        <v>2100</v>
      </c>
      <c r="H268" s="10">
        <f t="shared" si="5"/>
        <v>14700</v>
      </c>
    </row>
    <row r="269" spans="1:8" x14ac:dyDescent="0.35">
      <c r="A269" s="4">
        <v>268</v>
      </c>
      <c r="B269" s="5">
        <v>44464</v>
      </c>
      <c r="C269" s="6" t="s">
        <v>20</v>
      </c>
      <c r="D269" s="6" t="s">
        <v>12</v>
      </c>
      <c r="E269" s="6" t="s">
        <v>13</v>
      </c>
      <c r="F269" s="10">
        <v>7</v>
      </c>
      <c r="G269" s="10">
        <v>2100</v>
      </c>
      <c r="H269" s="10">
        <f t="shared" si="5"/>
        <v>14700</v>
      </c>
    </row>
    <row r="270" spans="1:8" x14ac:dyDescent="0.35">
      <c r="A270" s="4">
        <v>269</v>
      </c>
      <c r="B270" s="5">
        <v>44465</v>
      </c>
      <c r="C270" s="6" t="s">
        <v>20</v>
      </c>
      <c r="D270" s="6" t="s">
        <v>22</v>
      </c>
      <c r="E270" s="6" t="s">
        <v>13</v>
      </c>
      <c r="F270" s="10">
        <v>7</v>
      </c>
      <c r="G270" s="10">
        <v>2100</v>
      </c>
      <c r="H270" s="10">
        <f t="shared" si="5"/>
        <v>14700</v>
      </c>
    </row>
    <row r="271" spans="1:8" x14ac:dyDescent="0.35">
      <c r="A271" s="4">
        <v>270</v>
      </c>
      <c r="B271" s="5">
        <v>44466</v>
      </c>
      <c r="C271" s="6" t="s">
        <v>20</v>
      </c>
      <c r="D271" s="6" t="s">
        <v>23</v>
      </c>
      <c r="E271" s="6" t="s">
        <v>13</v>
      </c>
      <c r="F271" s="10">
        <v>7</v>
      </c>
      <c r="G271" s="10">
        <v>2100</v>
      </c>
      <c r="H271" s="10">
        <f t="shared" si="5"/>
        <v>14700</v>
      </c>
    </row>
    <row r="272" spans="1:8" x14ac:dyDescent="0.35">
      <c r="A272" s="4">
        <v>271</v>
      </c>
      <c r="B272" s="5">
        <v>44467</v>
      </c>
      <c r="C272" s="6" t="s">
        <v>8</v>
      </c>
      <c r="D272" s="6" t="s">
        <v>9</v>
      </c>
      <c r="E272" s="6" t="s">
        <v>13</v>
      </c>
      <c r="F272" s="10">
        <v>7</v>
      </c>
      <c r="G272" s="10">
        <v>2100</v>
      </c>
      <c r="H272" s="10">
        <f t="shared" si="5"/>
        <v>14700</v>
      </c>
    </row>
    <row r="273" spans="1:8" x14ac:dyDescent="0.35">
      <c r="A273" s="4">
        <v>272</v>
      </c>
      <c r="B273" s="5">
        <v>44468</v>
      </c>
      <c r="C273" s="6" t="s">
        <v>11</v>
      </c>
      <c r="D273" s="6" t="s">
        <v>12</v>
      </c>
      <c r="E273" s="6" t="s">
        <v>13</v>
      </c>
      <c r="F273" s="10">
        <v>7</v>
      </c>
      <c r="G273" s="10">
        <v>2100</v>
      </c>
      <c r="H273" s="10">
        <f t="shared" si="5"/>
        <v>14700</v>
      </c>
    </row>
    <row r="274" spans="1:8" x14ac:dyDescent="0.35">
      <c r="A274" s="4">
        <v>273</v>
      </c>
      <c r="B274" s="5">
        <v>44469</v>
      </c>
      <c r="C274" s="6" t="s">
        <v>14</v>
      </c>
      <c r="D274" s="6" t="s">
        <v>9</v>
      </c>
      <c r="E274" s="6" t="s">
        <v>13</v>
      </c>
      <c r="F274" s="10">
        <v>7</v>
      </c>
      <c r="G274" s="10">
        <v>2100</v>
      </c>
      <c r="H274" s="10">
        <f t="shared" si="5"/>
        <v>14700</v>
      </c>
    </row>
    <row r="275" spans="1:8" x14ac:dyDescent="0.35">
      <c r="A275" s="4">
        <v>274</v>
      </c>
      <c r="B275" s="5">
        <v>44470</v>
      </c>
      <c r="C275" s="6" t="s">
        <v>16</v>
      </c>
      <c r="D275" s="6" t="s">
        <v>12</v>
      </c>
      <c r="E275" s="6" t="s">
        <v>13</v>
      </c>
      <c r="F275" s="10">
        <v>7</v>
      </c>
      <c r="G275" s="10">
        <v>2100</v>
      </c>
      <c r="H275" s="10">
        <f t="shared" si="5"/>
        <v>14700</v>
      </c>
    </row>
    <row r="276" spans="1:8" x14ac:dyDescent="0.35">
      <c r="A276" s="4">
        <v>275</v>
      </c>
      <c r="B276" s="5">
        <v>44471</v>
      </c>
      <c r="C276" s="6" t="s">
        <v>18</v>
      </c>
      <c r="D276" s="6" t="s">
        <v>9</v>
      </c>
      <c r="E276" s="6" t="s">
        <v>13</v>
      </c>
      <c r="F276" s="10">
        <v>7</v>
      </c>
      <c r="G276" s="10">
        <v>2100</v>
      </c>
      <c r="H276" s="10">
        <f t="shared" si="5"/>
        <v>14700</v>
      </c>
    </row>
    <row r="277" spans="1:8" x14ac:dyDescent="0.35">
      <c r="A277" s="4">
        <v>276</v>
      </c>
      <c r="B277" s="5">
        <v>44472</v>
      </c>
      <c r="C277" s="6" t="s">
        <v>20</v>
      </c>
      <c r="D277" s="6" t="s">
        <v>9</v>
      </c>
      <c r="E277" s="6" t="s">
        <v>13</v>
      </c>
      <c r="F277" s="10">
        <v>7</v>
      </c>
      <c r="G277" s="10">
        <v>2100</v>
      </c>
      <c r="H277" s="10">
        <f t="shared" si="5"/>
        <v>14700</v>
      </c>
    </row>
    <row r="278" spans="1:8" x14ac:dyDescent="0.35">
      <c r="A278" s="4">
        <v>277</v>
      </c>
      <c r="B278" s="5">
        <v>44473</v>
      </c>
      <c r="C278" s="6" t="s">
        <v>8</v>
      </c>
      <c r="D278" s="6" t="s">
        <v>9</v>
      </c>
      <c r="E278" s="6" t="s">
        <v>13</v>
      </c>
      <c r="F278" s="10">
        <v>7</v>
      </c>
      <c r="G278" s="10">
        <v>2100</v>
      </c>
      <c r="H278" s="10">
        <f t="shared" si="5"/>
        <v>14700</v>
      </c>
    </row>
    <row r="279" spans="1:8" x14ac:dyDescent="0.35">
      <c r="A279" s="4">
        <v>278</v>
      </c>
      <c r="B279" s="5">
        <v>44474</v>
      </c>
      <c r="C279" s="6" t="s">
        <v>11</v>
      </c>
      <c r="D279" s="6" t="s">
        <v>12</v>
      </c>
      <c r="E279" s="6" t="s">
        <v>15</v>
      </c>
      <c r="F279" s="10">
        <v>5</v>
      </c>
      <c r="G279" s="10">
        <v>1200</v>
      </c>
      <c r="H279" s="10">
        <f t="shared" si="5"/>
        <v>6000</v>
      </c>
    </row>
    <row r="280" spans="1:8" x14ac:dyDescent="0.35">
      <c r="A280" s="4">
        <v>279</v>
      </c>
      <c r="B280" s="5">
        <v>44475</v>
      </c>
      <c r="C280" s="6" t="s">
        <v>14</v>
      </c>
      <c r="D280" s="6" t="s">
        <v>12</v>
      </c>
      <c r="E280" s="6" t="s">
        <v>17</v>
      </c>
      <c r="F280" s="10">
        <v>4</v>
      </c>
      <c r="G280" s="10">
        <v>1500</v>
      </c>
      <c r="H280" s="10">
        <f t="shared" si="5"/>
        <v>6000</v>
      </c>
    </row>
    <row r="281" spans="1:8" x14ac:dyDescent="0.35">
      <c r="A281" s="4">
        <v>280</v>
      </c>
      <c r="B281" s="5">
        <v>44476</v>
      </c>
      <c r="C281" s="6" t="s">
        <v>16</v>
      </c>
      <c r="D281" s="6" t="s">
        <v>9</v>
      </c>
      <c r="E281" s="6" t="s">
        <v>19</v>
      </c>
      <c r="F281" s="10">
        <v>3</v>
      </c>
      <c r="G281" s="10">
        <v>300</v>
      </c>
      <c r="H281" s="10">
        <f t="shared" si="5"/>
        <v>900</v>
      </c>
    </row>
    <row r="282" spans="1:8" x14ac:dyDescent="0.35">
      <c r="A282" s="4">
        <v>281</v>
      </c>
      <c r="B282" s="5">
        <v>44477</v>
      </c>
      <c r="C282" s="6" t="s">
        <v>18</v>
      </c>
      <c r="D282" s="6" t="s">
        <v>9</v>
      </c>
      <c r="E282" s="6" t="s">
        <v>21</v>
      </c>
      <c r="F282" s="10">
        <v>2</v>
      </c>
      <c r="G282" s="10">
        <v>190</v>
      </c>
      <c r="H282" s="10">
        <f t="shared" si="5"/>
        <v>380</v>
      </c>
    </row>
    <row r="283" spans="1:8" x14ac:dyDescent="0.35">
      <c r="A283" s="4">
        <v>282</v>
      </c>
      <c r="B283" s="5">
        <v>44478</v>
      </c>
      <c r="C283" s="6" t="s">
        <v>20</v>
      </c>
      <c r="D283" s="6" t="s">
        <v>12</v>
      </c>
      <c r="E283" s="6" t="s">
        <v>10</v>
      </c>
      <c r="F283" s="10">
        <v>7</v>
      </c>
      <c r="G283" s="10">
        <v>210</v>
      </c>
      <c r="H283" s="10">
        <f t="shared" si="5"/>
        <v>1470</v>
      </c>
    </row>
    <row r="284" spans="1:8" x14ac:dyDescent="0.35">
      <c r="A284" s="4">
        <v>283</v>
      </c>
      <c r="B284" s="5">
        <v>44479</v>
      </c>
      <c r="C284" s="6" t="s">
        <v>20</v>
      </c>
      <c r="D284" s="6" t="s">
        <v>9</v>
      </c>
      <c r="E284" s="6" t="s">
        <v>13</v>
      </c>
      <c r="F284" s="10">
        <v>6</v>
      </c>
      <c r="G284" s="10">
        <v>2100</v>
      </c>
      <c r="H284" s="10">
        <f t="shared" si="5"/>
        <v>12600</v>
      </c>
    </row>
    <row r="285" spans="1:8" x14ac:dyDescent="0.35">
      <c r="A285" s="4">
        <v>284</v>
      </c>
      <c r="B285" s="5">
        <v>44480</v>
      </c>
      <c r="C285" s="6" t="s">
        <v>8</v>
      </c>
      <c r="D285" s="6" t="s">
        <v>9</v>
      </c>
      <c r="E285" s="6" t="s">
        <v>15</v>
      </c>
      <c r="F285" s="10">
        <v>5</v>
      </c>
      <c r="G285" s="10">
        <v>1200</v>
      </c>
      <c r="H285" s="10">
        <f t="shared" si="5"/>
        <v>6000</v>
      </c>
    </row>
    <row r="286" spans="1:8" x14ac:dyDescent="0.35">
      <c r="A286" s="4">
        <v>285</v>
      </c>
      <c r="B286" s="5">
        <v>44481</v>
      </c>
      <c r="C286" s="6" t="s">
        <v>11</v>
      </c>
      <c r="D286" s="6" t="s">
        <v>9</v>
      </c>
      <c r="E286" s="6" t="s">
        <v>17</v>
      </c>
      <c r="F286" s="10">
        <v>4</v>
      </c>
      <c r="G286" s="10">
        <v>1500</v>
      </c>
      <c r="H286" s="10">
        <f t="shared" si="5"/>
        <v>6000</v>
      </c>
    </row>
    <row r="287" spans="1:8" x14ac:dyDescent="0.35">
      <c r="A287" s="4">
        <v>286</v>
      </c>
      <c r="B287" s="5">
        <v>44482</v>
      </c>
      <c r="C287" s="6" t="s">
        <v>14</v>
      </c>
      <c r="D287" s="6" t="s">
        <v>9</v>
      </c>
      <c r="E287" s="6" t="s">
        <v>19</v>
      </c>
      <c r="F287" s="10">
        <v>3</v>
      </c>
      <c r="G287" s="10">
        <v>300</v>
      </c>
      <c r="H287" s="10">
        <f t="shared" si="5"/>
        <v>900</v>
      </c>
    </row>
    <row r="288" spans="1:8" x14ac:dyDescent="0.35">
      <c r="A288" s="4">
        <v>287</v>
      </c>
      <c r="B288" s="5">
        <v>44483</v>
      </c>
      <c r="C288" s="6" t="s">
        <v>16</v>
      </c>
      <c r="D288" s="6" t="s">
        <v>9</v>
      </c>
      <c r="E288" s="6" t="s">
        <v>21</v>
      </c>
      <c r="F288" s="10">
        <v>2</v>
      </c>
      <c r="G288" s="10">
        <v>190</v>
      </c>
      <c r="H288" s="10">
        <f t="shared" si="5"/>
        <v>380</v>
      </c>
    </row>
    <row r="289" spans="1:8" x14ac:dyDescent="0.35">
      <c r="A289" s="4">
        <v>288</v>
      </c>
      <c r="B289" s="5">
        <v>44484</v>
      </c>
      <c r="C289" s="6" t="s">
        <v>18</v>
      </c>
      <c r="D289" s="6" t="s">
        <v>9</v>
      </c>
      <c r="E289" s="6" t="s">
        <v>10</v>
      </c>
      <c r="F289" s="10">
        <v>2</v>
      </c>
      <c r="G289" s="10">
        <v>210</v>
      </c>
      <c r="H289" s="10">
        <f t="shared" si="5"/>
        <v>420</v>
      </c>
    </row>
    <row r="290" spans="1:8" x14ac:dyDescent="0.35">
      <c r="A290" s="4">
        <v>289</v>
      </c>
      <c r="B290" s="5">
        <v>44485</v>
      </c>
      <c r="C290" s="6" t="s">
        <v>20</v>
      </c>
      <c r="D290" s="6" t="s">
        <v>9</v>
      </c>
      <c r="E290" s="6" t="s">
        <v>13</v>
      </c>
      <c r="F290" s="10">
        <v>7</v>
      </c>
      <c r="G290" s="10">
        <v>2100</v>
      </c>
      <c r="H290" s="10">
        <f t="shared" si="5"/>
        <v>14700</v>
      </c>
    </row>
    <row r="291" spans="1:8" x14ac:dyDescent="0.35">
      <c r="A291" s="4">
        <v>290</v>
      </c>
      <c r="B291" s="5">
        <v>44486</v>
      </c>
      <c r="C291" s="6" t="s">
        <v>8</v>
      </c>
      <c r="D291" s="6" t="s">
        <v>9</v>
      </c>
      <c r="E291" s="6" t="s">
        <v>15</v>
      </c>
      <c r="F291" s="10">
        <v>6</v>
      </c>
      <c r="G291" s="10">
        <v>1200</v>
      </c>
      <c r="H291" s="10">
        <f t="shared" si="5"/>
        <v>7200</v>
      </c>
    </row>
    <row r="292" spans="1:8" x14ac:dyDescent="0.35">
      <c r="A292" s="4">
        <v>291</v>
      </c>
      <c r="B292" s="5">
        <v>44487</v>
      </c>
      <c r="C292" s="6" t="s">
        <v>11</v>
      </c>
      <c r="D292" s="6" t="s">
        <v>12</v>
      </c>
      <c r="E292" s="6" t="s">
        <v>17</v>
      </c>
      <c r="F292" s="10">
        <v>5</v>
      </c>
      <c r="G292" s="10">
        <v>1500</v>
      </c>
      <c r="H292" s="10">
        <f t="shared" si="5"/>
        <v>7500</v>
      </c>
    </row>
    <row r="293" spans="1:8" x14ac:dyDescent="0.35">
      <c r="A293" s="4">
        <v>292</v>
      </c>
      <c r="B293" s="5">
        <v>44488</v>
      </c>
      <c r="C293" s="6" t="s">
        <v>14</v>
      </c>
      <c r="D293" s="6" t="s">
        <v>9</v>
      </c>
      <c r="E293" s="6" t="s">
        <v>19</v>
      </c>
      <c r="F293" s="10">
        <v>4</v>
      </c>
      <c r="G293" s="10">
        <v>300</v>
      </c>
      <c r="H293" s="10">
        <f t="shared" si="5"/>
        <v>1200</v>
      </c>
    </row>
    <row r="294" spans="1:8" x14ac:dyDescent="0.35">
      <c r="A294" s="4">
        <v>293</v>
      </c>
      <c r="B294" s="5">
        <v>44489</v>
      </c>
      <c r="C294" s="6" t="s">
        <v>16</v>
      </c>
      <c r="D294" s="6" t="s">
        <v>12</v>
      </c>
      <c r="E294" s="6" t="s">
        <v>17</v>
      </c>
      <c r="F294" s="10">
        <v>5</v>
      </c>
      <c r="G294" s="10">
        <v>1500</v>
      </c>
      <c r="H294" s="10">
        <f t="shared" si="5"/>
        <v>7500</v>
      </c>
    </row>
    <row r="295" spans="1:8" x14ac:dyDescent="0.35">
      <c r="A295" s="4">
        <v>294</v>
      </c>
      <c r="B295" s="5">
        <v>44490</v>
      </c>
      <c r="C295" s="6" t="s">
        <v>18</v>
      </c>
      <c r="D295" s="6" t="s">
        <v>9</v>
      </c>
      <c r="E295" s="6" t="s">
        <v>19</v>
      </c>
      <c r="F295" s="10">
        <v>4</v>
      </c>
      <c r="G295" s="10">
        <v>300</v>
      </c>
      <c r="H295" s="10">
        <f t="shared" si="5"/>
        <v>1200</v>
      </c>
    </row>
    <row r="296" spans="1:8" x14ac:dyDescent="0.35">
      <c r="A296" s="4">
        <v>295</v>
      </c>
      <c r="B296" s="5">
        <v>44491</v>
      </c>
      <c r="C296" s="6" t="s">
        <v>20</v>
      </c>
      <c r="D296" s="6" t="s">
        <v>9</v>
      </c>
      <c r="E296" s="6" t="s">
        <v>17</v>
      </c>
      <c r="F296" s="10">
        <v>5</v>
      </c>
      <c r="G296" s="10">
        <v>1500</v>
      </c>
      <c r="H296" s="10">
        <f t="shared" si="5"/>
        <v>7500</v>
      </c>
    </row>
    <row r="297" spans="1:8" x14ac:dyDescent="0.35">
      <c r="A297" s="4">
        <v>296</v>
      </c>
      <c r="B297" s="5">
        <v>44492</v>
      </c>
      <c r="C297" s="6" t="s">
        <v>20</v>
      </c>
      <c r="D297" s="6" t="s">
        <v>9</v>
      </c>
      <c r="E297" s="6" t="s">
        <v>19</v>
      </c>
      <c r="F297" s="10">
        <v>4</v>
      </c>
      <c r="G297" s="10">
        <v>300</v>
      </c>
      <c r="H297" s="10">
        <f t="shared" si="5"/>
        <v>1200</v>
      </c>
    </row>
    <row r="298" spans="1:8" x14ac:dyDescent="0.35">
      <c r="A298" s="4">
        <v>297</v>
      </c>
      <c r="B298" s="5">
        <v>44493</v>
      </c>
      <c r="C298" s="6" t="s">
        <v>8</v>
      </c>
      <c r="D298" s="6" t="s">
        <v>9</v>
      </c>
      <c r="E298" s="6" t="s">
        <v>17</v>
      </c>
      <c r="F298" s="10">
        <v>5</v>
      </c>
      <c r="G298" s="10">
        <v>1500</v>
      </c>
      <c r="H298" s="10">
        <f t="shared" si="5"/>
        <v>7500</v>
      </c>
    </row>
    <row r="299" spans="1:8" x14ac:dyDescent="0.35">
      <c r="A299" s="4">
        <v>298</v>
      </c>
      <c r="B299" s="5">
        <v>44494</v>
      </c>
      <c r="C299" s="6" t="s">
        <v>8</v>
      </c>
      <c r="D299" s="6" t="s">
        <v>12</v>
      </c>
      <c r="E299" s="6" t="s">
        <v>19</v>
      </c>
      <c r="F299" s="10">
        <v>4</v>
      </c>
      <c r="G299" s="10">
        <v>300</v>
      </c>
      <c r="H299" s="10">
        <f t="shared" si="5"/>
        <v>1200</v>
      </c>
    </row>
    <row r="300" spans="1:8" x14ac:dyDescent="0.35">
      <c r="A300" s="4">
        <v>299</v>
      </c>
      <c r="B300" s="5">
        <v>44495</v>
      </c>
      <c r="C300" s="6" t="s">
        <v>8</v>
      </c>
      <c r="D300" s="6" t="s">
        <v>22</v>
      </c>
      <c r="E300" s="6" t="s">
        <v>17</v>
      </c>
      <c r="F300" s="10">
        <v>5</v>
      </c>
      <c r="G300" s="10">
        <v>1500</v>
      </c>
      <c r="H300" s="10">
        <f t="shared" si="5"/>
        <v>7500</v>
      </c>
    </row>
    <row r="301" spans="1:8" x14ac:dyDescent="0.35">
      <c r="A301" s="4">
        <v>300</v>
      </c>
      <c r="B301" s="5">
        <v>44496</v>
      </c>
      <c r="C301" s="6" t="s">
        <v>8</v>
      </c>
      <c r="D301" s="6" t="s">
        <v>23</v>
      </c>
      <c r="E301" s="6" t="s">
        <v>19</v>
      </c>
      <c r="F301" s="10">
        <v>4</v>
      </c>
      <c r="G301" s="10">
        <v>300</v>
      </c>
      <c r="H301" s="10">
        <f t="shared" si="5"/>
        <v>1200</v>
      </c>
    </row>
    <row r="302" spans="1:8" x14ac:dyDescent="0.35">
      <c r="A302" s="4">
        <v>301</v>
      </c>
      <c r="B302" s="5">
        <v>44497</v>
      </c>
      <c r="C302" s="6" t="s">
        <v>8</v>
      </c>
      <c r="D302" s="6" t="s">
        <v>9</v>
      </c>
      <c r="E302" s="6" t="s">
        <v>17</v>
      </c>
      <c r="F302" s="10">
        <v>5</v>
      </c>
      <c r="G302" s="10">
        <v>1500</v>
      </c>
      <c r="H302" s="10">
        <f t="shared" si="5"/>
        <v>7500</v>
      </c>
    </row>
    <row r="303" spans="1:8" x14ac:dyDescent="0.35">
      <c r="A303" s="4">
        <v>302</v>
      </c>
      <c r="B303" s="5">
        <v>44498</v>
      </c>
      <c r="C303" s="6" t="s">
        <v>8</v>
      </c>
      <c r="D303" s="6" t="s">
        <v>12</v>
      </c>
      <c r="E303" s="6" t="s">
        <v>13</v>
      </c>
      <c r="F303" s="10">
        <v>6</v>
      </c>
      <c r="G303" s="10">
        <v>2100</v>
      </c>
      <c r="H303" s="10">
        <f t="shared" si="5"/>
        <v>12600</v>
      </c>
    </row>
    <row r="304" spans="1:8" x14ac:dyDescent="0.35">
      <c r="A304" s="4">
        <v>303</v>
      </c>
      <c r="B304" s="5">
        <v>44499</v>
      </c>
      <c r="C304" s="6" t="s">
        <v>8</v>
      </c>
      <c r="D304" s="6" t="s">
        <v>22</v>
      </c>
      <c r="E304" s="6" t="s">
        <v>15</v>
      </c>
      <c r="F304" s="10">
        <v>5</v>
      </c>
      <c r="G304" s="10">
        <v>1200</v>
      </c>
      <c r="H304" s="10">
        <f t="shared" si="5"/>
        <v>6000</v>
      </c>
    </row>
    <row r="305" spans="1:8" x14ac:dyDescent="0.35">
      <c r="A305" s="4">
        <v>304</v>
      </c>
      <c r="B305" s="5">
        <v>44500</v>
      </c>
      <c r="C305" s="6" t="s">
        <v>8</v>
      </c>
      <c r="D305" s="6" t="s">
        <v>23</v>
      </c>
      <c r="E305" s="6" t="s">
        <v>17</v>
      </c>
      <c r="F305" s="10">
        <v>4</v>
      </c>
      <c r="G305" s="10">
        <v>1500</v>
      </c>
      <c r="H305" s="10">
        <f t="shared" si="5"/>
        <v>6000</v>
      </c>
    </row>
    <row r="306" spans="1:8" x14ac:dyDescent="0.35">
      <c r="A306" s="4">
        <v>305</v>
      </c>
      <c r="B306" s="5">
        <v>44501</v>
      </c>
      <c r="C306" s="6" t="s">
        <v>11</v>
      </c>
      <c r="D306" s="6" t="s">
        <v>12</v>
      </c>
      <c r="E306" s="6" t="s">
        <v>19</v>
      </c>
      <c r="F306" s="10">
        <v>3</v>
      </c>
      <c r="G306" s="10">
        <v>300</v>
      </c>
      <c r="H306" s="10">
        <f t="shared" si="5"/>
        <v>900</v>
      </c>
    </row>
    <row r="307" spans="1:8" x14ac:dyDescent="0.35">
      <c r="A307" s="4">
        <v>306</v>
      </c>
      <c r="B307" s="5">
        <v>44502</v>
      </c>
      <c r="C307" s="6" t="s">
        <v>11</v>
      </c>
      <c r="D307" s="6" t="s">
        <v>9</v>
      </c>
      <c r="E307" s="6" t="s">
        <v>21</v>
      </c>
      <c r="F307" s="10">
        <v>2</v>
      </c>
      <c r="G307" s="10">
        <v>190</v>
      </c>
      <c r="H307" s="10">
        <f t="shared" si="5"/>
        <v>380</v>
      </c>
    </row>
    <row r="308" spans="1:8" x14ac:dyDescent="0.35">
      <c r="A308" s="4">
        <v>307</v>
      </c>
      <c r="B308" s="5">
        <v>44503</v>
      </c>
      <c r="C308" s="6" t="s">
        <v>11</v>
      </c>
      <c r="D308" s="6" t="s">
        <v>22</v>
      </c>
      <c r="E308" s="6" t="s">
        <v>21</v>
      </c>
      <c r="F308" s="10">
        <v>2</v>
      </c>
      <c r="G308" s="10">
        <v>190</v>
      </c>
      <c r="H308" s="10">
        <f t="shared" si="5"/>
        <v>380</v>
      </c>
    </row>
    <row r="309" spans="1:8" x14ac:dyDescent="0.35">
      <c r="A309" s="4">
        <v>308</v>
      </c>
      <c r="B309" s="5">
        <v>44504</v>
      </c>
      <c r="C309" s="6" t="s">
        <v>11</v>
      </c>
      <c r="D309" s="6" t="s">
        <v>23</v>
      </c>
      <c r="E309" s="6" t="s">
        <v>21</v>
      </c>
      <c r="F309" s="10">
        <v>2</v>
      </c>
      <c r="G309" s="10">
        <v>190</v>
      </c>
      <c r="H309" s="10">
        <f t="shared" si="5"/>
        <v>380</v>
      </c>
    </row>
    <row r="310" spans="1:8" x14ac:dyDescent="0.35">
      <c r="A310" s="4">
        <v>309</v>
      </c>
      <c r="B310" s="5">
        <v>44505</v>
      </c>
      <c r="C310" s="6" t="s">
        <v>11</v>
      </c>
      <c r="D310" s="6" t="s">
        <v>12</v>
      </c>
      <c r="E310" s="6" t="s">
        <v>21</v>
      </c>
      <c r="F310" s="10">
        <v>2</v>
      </c>
      <c r="G310" s="10">
        <v>190</v>
      </c>
      <c r="H310" s="10">
        <f t="shared" si="5"/>
        <v>380</v>
      </c>
    </row>
    <row r="311" spans="1:8" x14ac:dyDescent="0.35">
      <c r="A311" s="4">
        <v>310</v>
      </c>
      <c r="B311" s="5">
        <v>44506</v>
      </c>
      <c r="C311" s="6" t="s">
        <v>11</v>
      </c>
      <c r="D311" s="6" t="s">
        <v>9</v>
      </c>
      <c r="E311" s="6" t="s">
        <v>21</v>
      </c>
      <c r="F311" s="10">
        <v>2</v>
      </c>
      <c r="G311" s="10">
        <v>190</v>
      </c>
      <c r="H311" s="10">
        <f t="shared" si="5"/>
        <v>380</v>
      </c>
    </row>
    <row r="312" spans="1:8" x14ac:dyDescent="0.35">
      <c r="A312" s="4">
        <v>311</v>
      </c>
      <c r="B312" s="5">
        <v>44507</v>
      </c>
      <c r="C312" s="6" t="s">
        <v>11</v>
      </c>
      <c r="D312" s="6" t="s">
        <v>22</v>
      </c>
      <c r="E312" s="6" t="s">
        <v>21</v>
      </c>
      <c r="F312" s="10">
        <v>2</v>
      </c>
      <c r="G312" s="10">
        <v>190</v>
      </c>
      <c r="H312" s="10">
        <f t="shared" si="5"/>
        <v>380</v>
      </c>
    </row>
    <row r="313" spans="1:8" x14ac:dyDescent="0.35">
      <c r="A313" s="4">
        <v>312</v>
      </c>
      <c r="B313" s="5">
        <v>44508</v>
      </c>
      <c r="C313" s="6" t="s">
        <v>11</v>
      </c>
      <c r="D313" s="6" t="s">
        <v>23</v>
      </c>
      <c r="E313" s="6" t="s">
        <v>21</v>
      </c>
      <c r="F313" s="10">
        <v>2</v>
      </c>
      <c r="G313" s="10">
        <v>190</v>
      </c>
      <c r="H313" s="10">
        <f t="shared" si="5"/>
        <v>380</v>
      </c>
    </row>
    <row r="314" spans="1:8" x14ac:dyDescent="0.35">
      <c r="A314" s="4">
        <v>313</v>
      </c>
      <c r="B314" s="5">
        <v>44509</v>
      </c>
      <c r="C314" s="6" t="s">
        <v>14</v>
      </c>
      <c r="D314" s="6" t="s">
        <v>23</v>
      </c>
      <c r="E314" s="6" t="s">
        <v>21</v>
      </c>
      <c r="F314" s="10">
        <v>2</v>
      </c>
      <c r="G314" s="10">
        <v>190</v>
      </c>
      <c r="H314" s="10">
        <f t="shared" si="5"/>
        <v>380</v>
      </c>
    </row>
    <row r="315" spans="1:8" x14ac:dyDescent="0.35">
      <c r="A315" s="4">
        <v>314</v>
      </c>
      <c r="B315" s="5">
        <v>44510</v>
      </c>
      <c r="C315" s="6" t="s">
        <v>16</v>
      </c>
      <c r="D315" s="6" t="s">
        <v>23</v>
      </c>
      <c r="E315" s="6" t="s">
        <v>21</v>
      </c>
      <c r="F315" s="10">
        <v>2</v>
      </c>
      <c r="G315" s="10">
        <v>190</v>
      </c>
      <c r="H315" s="10">
        <f t="shared" si="5"/>
        <v>380</v>
      </c>
    </row>
    <row r="316" spans="1:8" x14ac:dyDescent="0.35">
      <c r="A316" s="4">
        <v>315</v>
      </c>
      <c r="B316" s="5">
        <v>44511</v>
      </c>
      <c r="C316" s="6" t="s">
        <v>18</v>
      </c>
      <c r="D316" s="6" t="s">
        <v>23</v>
      </c>
      <c r="E316" s="6" t="s">
        <v>21</v>
      </c>
      <c r="F316" s="10">
        <v>2</v>
      </c>
      <c r="G316" s="10">
        <v>190</v>
      </c>
      <c r="H316" s="10">
        <f t="shared" si="5"/>
        <v>380</v>
      </c>
    </row>
    <row r="317" spans="1:8" x14ac:dyDescent="0.35">
      <c r="A317" s="4">
        <v>316</v>
      </c>
      <c r="B317" s="5">
        <v>44512</v>
      </c>
      <c r="C317" s="6" t="s">
        <v>20</v>
      </c>
      <c r="D317" s="6" t="s">
        <v>23</v>
      </c>
      <c r="E317" s="6" t="s">
        <v>21</v>
      </c>
      <c r="F317" s="10">
        <v>2</v>
      </c>
      <c r="G317" s="10">
        <v>190</v>
      </c>
      <c r="H317" s="10">
        <f t="shared" si="5"/>
        <v>380</v>
      </c>
    </row>
    <row r="318" spans="1:8" x14ac:dyDescent="0.35">
      <c r="A318" s="4">
        <v>317</v>
      </c>
      <c r="B318" s="5">
        <v>44513</v>
      </c>
      <c r="C318" s="6" t="s">
        <v>20</v>
      </c>
      <c r="D318" s="6" t="s">
        <v>9</v>
      </c>
      <c r="E318" s="6" t="s">
        <v>21</v>
      </c>
      <c r="F318" s="10">
        <v>2</v>
      </c>
      <c r="G318" s="10">
        <v>190</v>
      </c>
      <c r="H318" s="10">
        <f t="shared" si="5"/>
        <v>380</v>
      </c>
    </row>
    <row r="319" spans="1:8" x14ac:dyDescent="0.35">
      <c r="A319" s="4">
        <v>318</v>
      </c>
      <c r="B319" s="5">
        <v>44514</v>
      </c>
      <c r="C319" s="6" t="s">
        <v>20</v>
      </c>
      <c r="D319" s="6" t="s">
        <v>12</v>
      </c>
      <c r="E319" s="6" t="s">
        <v>21</v>
      </c>
      <c r="F319" s="10">
        <v>3</v>
      </c>
      <c r="G319" s="10">
        <v>190</v>
      </c>
      <c r="H319" s="10">
        <f t="shared" si="5"/>
        <v>570</v>
      </c>
    </row>
    <row r="320" spans="1:8" x14ac:dyDescent="0.35">
      <c r="A320" s="4">
        <v>319</v>
      </c>
      <c r="B320" s="5">
        <v>44515</v>
      </c>
      <c r="C320" s="6" t="s">
        <v>20</v>
      </c>
      <c r="D320" s="6" t="s">
        <v>22</v>
      </c>
      <c r="E320" s="6" t="s">
        <v>10</v>
      </c>
      <c r="F320" s="10">
        <v>2</v>
      </c>
      <c r="G320" s="10">
        <v>210</v>
      </c>
      <c r="H320" s="10">
        <f t="shared" si="5"/>
        <v>420</v>
      </c>
    </row>
    <row r="321" spans="1:8" x14ac:dyDescent="0.35">
      <c r="A321" s="4">
        <v>320</v>
      </c>
      <c r="B321" s="5">
        <v>44516</v>
      </c>
      <c r="C321" s="6" t="s">
        <v>20</v>
      </c>
      <c r="D321" s="6" t="s">
        <v>23</v>
      </c>
      <c r="E321" s="6" t="s">
        <v>10</v>
      </c>
      <c r="F321" s="10">
        <v>2</v>
      </c>
      <c r="G321" s="10">
        <v>210</v>
      </c>
      <c r="H321" s="10">
        <f t="shared" si="5"/>
        <v>420</v>
      </c>
    </row>
    <row r="322" spans="1:8" x14ac:dyDescent="0.35">
      <c r="A322" s="4">
        <v>321</v>
      </c>
      <c r="B322" s="5">
        <v>44517</v>
      </c>
      <c r="C322" s="6" t="s">
        <v>20</v>
      </c>
      <c r="D322" s="6" t="s">
        <v>9</v>
      </c>
      <c r="E322" s="6" t="s">
        <v>10</v>
      </c>
      <c r="F322" s="10">
        <v>2</v>
      </c>
      <c r="G322" s="10">
        <v>210</v>
      </c>
      <c r="H322" s="10">
        <f t="shared" si="5"/>
        <v>420</v>
      </c>
    </row>
    <row r="323" spans="1:8" x14ac:dyDescent="0.35">
      <c r="A323" s="4">
        <v>322</v>
      </c>
      <c r="B323" s="5">
        <v>44518</v>
      </c>
      <c r="C323" s="6" t="s">
        <v>20</v>
      </c>
      <c r="D323" s="6" t="s">
        <v>12</v>
      </c>
      <c r="E323" s="6" t="s">
        <v>10</v>
      </c>
      <c r="F323" s="10">
        <v>2</v>
      </c>
      <c r="G323" s="10">
        <v>210</v>
      </c>
      <c r="H323" s="10">
        <f t="shared" ref="H323:H367" si="6">F323*G323</f>
        <v>420</v>
      </c>
    </row>
    <row r="324" spans="1:8" x14ac:dyDescent="0.35">
      <c r="A324" s="4">
        <v>323</v>
      </c>
      <c r="B324" s="5">
        <v>44519</v>
      </c>
      <c r="C324" s="6" t="s">
        <v>20</v>
      </c>
      <c r="D324" s="6" t="s">
        <v>22</v>
      </c>
      <c r="E324" s="6" t="s">
        <v>10</v>
      </c>
      <c r="F324" s="10">
        <v>2</v>
      </c>
      <c r="G324" s="10">
        <v>210</v>
      </c>
      <c r="H324" s="10">
        <f t="shared" si="6"/>
        <v>420</v>
      </c>
    </row>
    <row r="325" spans="1:8" x14ac:dyDescent="0.35">
      <c r="A325" s="4">
        <v>324</v>
      </c>
      <c r="B325" s="5">
        <v>44520</v>
      </c>
      <c r="C325" s="6" t="s">
        <v>20</v>
      </c>
      <c r="D325" s="6" t="s">
        <v>23</v>
      </c>
      <c r="E325" s="6" t="s">
        <v>10</v>
      </c>
      <c r="F325" s="10">
        <v>2</v>
      </c>
      <c r="G325" s="10">
        <v>210</v>
      </c>
      <c r="H325" s="10">
        <f t="shared" si="6"/>
        <v>420</v>
      </c>
    </row>
    <row r="326" spans="1:8" x14ac:dyDescent="0.35">
      <c r="A326" s="4">
        <v>325</v>
      </c>
      <c r="B326" s="5">
        <v>44521</v>
      </c>
      <c r="C326" s="6" t="s">
        <v>8</v>
      </c>
      <c r="D326" s="6" t="s">
        <v>9</v>
      </c>
      <c r="E326" s="6" t="s">
        <v>10</v>
      </c>
      <c r="F326" s="10">
        <v>2</v>
      </c>
      <c r="G326" s="10">
        <v>210</v>
      </c>
      <c r="H326" s="10">
        <f t="shared" si="6"/>
        <v>420</v>
      </c>
    </row>
    <row r="327" spans="1:8" x14ac:dyDescent="0.35">
      <c r="A327" s="4">
        <v>326</v>
      </c>
      <c r="B327" s="5">
        <v>44522</v>
      </c>
      <c r="C327" s="6" t="s">
        <v>11</v>
      </c>
      <c r="D327" s="6" t="s">
        <v>12</v>
      </c>
      <c r="E327" s="6" t="s">
        <v>10</v>
      </c>
      <c r="F327" s="10">
        <v>2</v>
      </c>
      <c r="G327" s="10">
        <v>210</v>
      </c>
      <c r="H327" s="10">
        <f t="shared" si="6"/>
        <v>420</v>
      </c>
    </row>
    <row r="328" spans="1:8" x14ac:dyDescent="0.35">
      <c r="A328" s="4">
        <v>327</v>
      </c>
      <c r="B328" s="5">
        <v>44523</v>
      </c>
      <c r="C328" s="6" t="s">
        <v>14</v>
      </c>
      <c r="D328" s="6" t="s">
        <v>9</v>
      </c>
      <c r="E328" s="6" t="s">
        <v>10</v>
      </c>
      <c r="F328" s="10">
        <v>2</v>
      </c>
      <c r="G328" s="10">
        <v>210</v>
      </c>
      <c r="H328" s="10">
        <f t="shared" si="6"/>
        <v>420</v>
      </c>
    </row>
    <row r="329" spans="1:8" x14ac:dyDescent="0.35">
      <c r="A329" s="4">
        <v>328</v>
      </c>
      <c r="B329" s="5">
        <v>44524</v>
      </c>
      <c r="C329" s="6" t="s">
        <v>16</v>
      </c>
      <c r="D329" s="6" t="s">
        <v>12</v>
      </c>
      <c r="E329" s="6" t="s">
        <v>10</v>
      </c>
      <c r="F329" s="10">
        <v>2</v>
      </c>
      <c r="G329" s="10">
        <v>210</v>
      </c>
      <c r="H329" s="10">
        <f t="shared" si="6"/>
        <v>420</v>
      </c>
    </row>
    <row r="330" spans="1:8" x14ac:dyDescent="0.35">
      <c r="A330" s="4">
        <v>329</v>
      </c>
      <c r="B330" s="5">
        <v>44525</v>
      </c>
      <c r="C330" s="6" t="s">
        <v>18</v>
      </c>
      <c r="D330" s="6" t="s">
        <v>9</v>
      </c>
      <c r="E330" s="6" t="s">
        <v>10</v>
      </c>
      <c r="F330" s="10">
        <v>2</v>
      </c>
      <c r="G330" s="10">
        <v>210</v>
      </c>
      <c r="H330" s="10">
        <f t="shared" si="6"/>
        <v>420</v>
      </c>
    </row>
    <row r="331" spans="1:8" x14ac:dyDescent="0.35">
      <c r="A331" s="4">
        <v>330</v>
      </c>
      <c r="B331" s="5">
        <v>44526</v>
      </c>
      <c r="C331" s="6" t="s">
        <v>20</v>
      </c>
      <c r="D331" s="6" t="s">
        <v>9</v>
      </c>
      <c r="E331" s="6" t="s">
        <v>10</v>
      </c>
      <c r="F331" s="10">
        <v>2</v>
      </c>
      <c r="G331" s="10">
        <v>210</v>
      </c>
      <c r="H331" s="10">
        <f t="shared" si="6"/>
        <v>420</v>
      </c>
    </row>
    <row r="332" spans="1:8" x14ac:dyDescent="0.35">
      <c r="A332" s="4">
        <v>331</v>
      </c>
      <c r="B332" s="5">
        <v>44527</v>
      </c>
      <c r="C332" s="6" t="s">
        <v>8</v>
      </c>
      <c r="D332" s="6" t="s">
        <v>9</v>
      </c>
      <c r="E332" s="6" t="s">
        <v>21</v>
      </c>
      <c r="F332" s="10">
        <v>2</v>
      </c>
      <c r="G332" s="10">
        <v>190</v>
      </c>
      <c r="H332" s="10">
        <f t="shared" si="6"/>
        <v>380</v>
      </c>
    </row>
    <row r="333" spans="1:8" x14ac:dyDescent="0.35">
      <c r="A333" s="4">
        <v>332</v>
      </c>
      <c r="B333" s="5">
        <v>44528</v>
      </c>
      <c r="C333" s="6" t="s">
        <v>11</v>
      </c>
      <c r="D333" s="6" t="s">
        <v>12</v>
      </c>
      <c r="E333" s="6" t="s">
        <v>10</v>
      </c>
      <c r="F333" s="10">
        <v>7</v>
      </c>
      <c r="G333" s="10">
        <v>210</v>
      </c>
      <c r="H333" s="10">
        <f t="shared" si="6"/>
        <v>1470</v>
      </c>
    </row>
    <row r="334" spans="1:8" x14ac:dyDescent="0.35">
      <c r="A334" s="4">
        <v>333</v>
      </c>
      <c r="B334" s="5">
        <v>44529</v>
      </c>
      <c r="C334" s="6" t="s">
        <v>14</v>
      </c>
      <c r="D334" s="6" t="s">
        <v>12</v>
      </c>
      <c r="E334" s="6" t="s">
        <v>13</v>
      </c>
      <c r="F334" s="10">
        <v>6</v>
      </c>
      <c r="G334" s="10">
        <v>2100</v>
      </c>
      <c r="H334" s="10">
        <f t="shared" si="6"/>
        <v>12600</v>
      </c>
    </row>
    <row r="335" spans="1:8" x14ac:dyDescent="0.35">
      <c r="A335" s="4">
        <v>334</v>
      </c>
      <c r="B335" s="5">
        <v>44530</v>
      </c>
      <c r="C335" s="6" t="s">
        <v>16</v>
      </c>
      <c r="D335" s="6" t="s">
        <v>9</v>
      </c>
      <c r="E335" s="6" t="s">
        <v>15</v>
      </c>
      <c r="F335" s="10">
        <v>5</v>
      </c>
      <c r="G335" s="10">
        <v>1200</v>
      </c>
      <c r="H335" s="10">
        <f t="shared" si="6"/>
        <v>6000</v>
      </c>
    </row>
    <row r="336" spans="1:8" x14ac:dyDescent="0.35">
      <c r="A336" s="4">
        <v>335</v>
      </c>
      <c r="B336" s="5">
        <v>44531</v>
      </c>
      <c r="C336" s="6" t="s">
        <v>18</v>
      </c>
      <c r="D336" s="6" t="s">
        <v>9</v>
      </c>
      <c r="E336" s="6" t="s">
        <v>17</v>
      </c>
      <c r="F336" s="10">
        <v>4</v>
      </c>
      <c r="G336" s="10">
        <v>1500</v>
      </c>
      <c r="H336" s="10">
        <f t="shared" si="6"/>
        <v>6000</v>
      </c>
    </row>
    <row r="337" spans="1:8" x14ac:dyDescent="0.35">
      <c r="A337" s="4">
        <v>336</v>
      </c>
      <c r="B337" s="5">
        <v>44532</v>
      </c>
      <c r="C337" s="6" t="s">
        <v>20</v>
      </c>
      <c r="D337" s="6" t="s">
        <v>12</v>
      </c>
      <c r="E337" s="6" t="s">
        <v>17</v>
      </c>
      <c r="F337" s="10">
        <v>4</v>
      </c>
      <c r="G337" s="10">
        <v>1500</v>
      </c>
      <c r="H337" s="10">
        <f t="shared" si="6"/>
        <v>6000</v>
      </c>
    </row>
    <row r="338" spans="1:8" x14ac:dyDescent="0.35">
      <c r="A338" s="4">
        <v>337</v>
      </c>
      <c r="B338" s="5">
        <v>44533</v>
      </c>
      <c r="C338" s="6" t="s">
        <v>20</v>
      </c>
      <c r="D338" s="6" t="s">
        <v>9</v>
      </c>
      <c r="E338" s="6" t="s">
        <v>17</v>
      </c>
      <c r="F338" s="10">
        <v>4</v>
      </c>
      <c r="G338" s="10">
        <v>1500</v>
      </c>
      <c r="H338" s="10">
        <f t="shared" si="6"/>
        <v>6000</v>
      </c>
    </row>
    <row r="339" spans="1:8" x14ac:dyDescent="0.35">
      <c r="A339" s="4">
        <v>338</v>
      </c>
      <c r="B339" s="5">
        <v>44534</v>
      </c>
      <c r="C339" s="6" t="s">
        <v>8</v>
      </c>
      <c r="D339" s="6" t="s">
        <v>9</v>
      </c>
      <c r="E339" s="6" t="s">
        <v>17</v>
      </c>
      <c r="F339" s="10">
        <v>4</v>
      </c>
      <c r="G339" s="10">
        <v>1500</v>
      </c>
      <c r="H339" s="10">
        <f t="shared" si="6"/>
        <v>6000</v>
      </c>
    </row>
    <row r="340" spans="1:8" x14ac:dyDescent="0.35">
      <c r="A340" s="4">
        <v>339</v>
      </c>
      <c r="B340" s="5">
        <v>44535</v>
      </c>
      <c r="C340" s="6" t="s">
        <v>11</v>
      </c>
      <c r="D340" s="6" t="s">
        <v>9</v>
      </c>
      <c r="E340" s="6" t="s">
        <v>17</v>
      </c>
      <c r="F340" s="10">
        <v>4</v>
      </c>
      <c r="G340" s="10">
        <v>1500</v>
      </c>
      <c r="H340" s="10">
        <f t="shared" si="6"/>
        <v>6000</v>
      </c>
    </row>
    <row r="341" spans="1:8" x14ac:dyDescent="0.35">
      <c r="A341" s="4">
        <v>340</v>
      </c>
      <c r="B341" s="5">
        <v>44536</v>
      </c>
      <c r="C341" s="6" t="s">
        <v>14</v>
      </c>
      <c r="D341" s="6" t="s">
        <v>9</v>
      </c>
      <c r="E341" s="6" t="s">
        <v>17</v>
      </c>
      <c r="F341" s="10">
        <v>4</v>
      </c>
      <c r="G341" s="10">
        <v>1500</v>
      </c>
      <c r="H341" s="10">
        <f t="shared" si="6"/>
        <v>6000</v>
      </c>
    </row>
    <row r="342" spans="1:8" x14ac:dyDescent="0.35">
      <c r="A342" s="4">
        <v>341</v>
      </c>
      <c r="B342" s="5">
        <v>44537</v>
      </c>
      <c r="C342" s="6" t="s">
        <v>16</v>
      </c>
      <c r="D342" s="6" t="s">
        <v>9</v>
      </c>
      <c r="E342" s="6" t="s">
        <v>17</v>
      </c>
      <c r="F342" s="10">
        <v>4</v>
      </c>
      <c r="G342" s="10">
        <v>1500</v>
      </c>
      <c r="H342" s="10">
        <f t="shared" si="6"/>
        <v>6000</v>
      </c>
    </row>
    <row r="343" spans="1:8" x14ac:dyDescent="0.35">
      <c r="A343" s="4">
        <v>342</v>
      </c>
      <c r="B343" s="5">
        <v>44538</v>
      </c>
      <c r="C343" s="6" t="s">
        <v>18</v>
      </c>
      <c r="D343" s="6" t="s">
        <v>9</v>
      </c>
      <c r="E343" s="6" t="s">
        <v>17</v>
      </c>
      <c r="F343" s="10">
        <v>4</v>
      </c>
      <c r="G343" s="10">
        <v>1500</v>
      </c>
      <c r="H343" s="10">
        <f t="shared" si="6"/>
        <v>6000</v>
      </c>
    </row>
    <row r="344" spans="1:8" x14ac:dyDescent="0.35">
      <c r="A344" s="4">
        <v>343</v>
      </c>
      <c r="B344" s="5">
        <v>44539</v>
      </c>
      <c r="C344" s="6" t="s">
        <v>20</v>
      </c>
      <c r="D344" s="6" t="s">
        <v>9</v>
      </c>
      <c r="E344" s="6" t="s">
        <v>17</v>
      </c>
      <c r="F344" s="10">
        <v>4</v>
      </c>
      <c r="G344" s="10">
        <v>1500</v>
      </c>
      <c r="H344" s="10">
        <f t="shared" si="6"/>
        <v>6000</v>
      </c>
    </row>
    <row r="345" spans="1:8" x14ac:dyDescent="0.35">
      <c r="A345" s="4">
        <v>344</v>
      </c>
      <c r="B345" s="5">
        <v>44540</v>
      </c>
      <c r="C345" s="6" t="s">
        <v>8</v>
      </c>
      <c r="D345" s="6" t="s">
        <v>9</v>
      </c>
      <c r="E345" s="6" t="s">
        <v>10</v>
      </c>
      <c r="F345" s="10">
        <v>2</v>
      </c>
      <c r="G345" s="10">
        <v>210</v>
      </c>
      <c r="H345" s="10">
        <f t="shared" si="6"/>
        <v>420</v>
      </c>
    </row>
    <row r="346" spans="1:8" x14ac:dyDescent="0.35">
      <c r="A346" s="4">
        <v>345</v>
      </c>
      <c r="B346" s="5">
        <v>44541</v>
      </c>
      <c r="C346" s="6" t="s">
        <v>11</v>
      </c>
      <c r="D346" s="6" t="s">
        <v>12</v>
      </c>
      <c r="E346" s="6" t="s">
        <v>15</v>
      </c>
      <c r="F346" s="10">
        <v>7</v>
      </c>
      <c r="G346" s="10">
        <v>2100</v>
      </c>
      <c r="H346" s="10">
        <f t="shared" si="6"/>
        <v>14700</v>
      </c>
    </row>
    <row r="347" spans="1:8" x14ac:dyDescent="0.35">
      <c r="A347" s="4">
        <v>346</v>
      </c>
      <c r="B347" s="5">
        <v>44542</v>
      </c>
      <c r="C347" s="6" t="s">
        <v>14</v>
      </c>
      <c r="D347" s="6" t="s">
        <v>9</v>
      </c>
      <c r="E347" s="6" t="s">
        <v>17</v>
      </c>
      <c r="F347" s="10">
        <v>6</v>
      </c>
      <c r="G347" s="10">
        <v>1200</v>
      </c>
      <c r="H347" s="10">
        <f t="shared" si="6"/>
        <v>7200</v>
      </c>
    </row>
    <row r="348" spans="1:8" x14ac:dyDescent="0.35">
      <c r="A348" s="4">
        <v>347</v>
      </c>
      <c r="B348" s="5">
        <v>44543</v>
      </c>
      <c r="C348" s="6" t="s">
        <v>16</v>
      </c>
      <c r="D348" s="6" t="s">
        <v>12</v>
      </c>
      <c r="E348" s="6" t="s">
        <v>19</v>
      </c>
      <c r="F348" s="10">
        <v>5</v>
      </c>
      <c r="G348" s="10">
        <v>300</v>
      </c>
      <c r="H348" s="10">
        <f t="shared" si="6"/>
        <v>1500</v>
      </c>
    </row>
    <row r="349" spans="1:8" x14ac:dyDescent="0.35">
      <c r="A349" s="4">
        <v>348</v>
      </c>
      <c r="B349" s="5">
        <v>44544</v>
      </c>
      <c r="C349" s="6" t="s">
        <v>18</v>
      </c>
      <c r="D349" s="6" t="s">
        <v>9</v>
      </c>
      <c r="E349" s="6" t="s">
        <v>21</v>
      </c>
      <c r="F349" s="10">
        <v>4</v>
      </c>
      <c r="G349" s="10">
        <v>200</v>
      </c>
      <c r="H349" s="10">
        <f t="shared" si="6"/>
        <v>800</v>
      </c>
    </row>
    <row r="350" spans="1:8" x14ac:dyDescent="0.35">
      <c r="A350" s="4">
        <v>349</v>
      </c>
      <c r="B350" s="5">
        <v>44545</v>
      </c>
      <c r="C350" s="6" t="s">
        <v>20</v>
      </c>
      <c r="D350" s="6" t="s">
        <v>9</v>
      </c>
      <c r="E350" s="6" t="s">
        <v>10</v>
      </c>
      <c r="F350" s="10">
        <v>3</v>
      </c>
      <c r="G350" s="10">
        <v>190</v>
      </c>
      <c r="H350" s="10">
        <f t="shared" si="6"/>
        <v>570</v>
      </c>
    </row>
    <row r="351" spans="1:8" x14ac:dyDescent="0.35">
      <c r="A351" s="4">
        <v>350</v>
      </c>
      <c r="B351" s="5">
        <v>44546</v>
      </c>
      <c r="C351" s="6" t="s">
        <v>20</v>
      </c>
      <c r="D351" s="6" t="s">
        <v>9</v>
      </c>
      <c r="E351" s="6" t="s">
        <v>13</v>
      </c>
      <c r="F351" s="10">
        <v>2</v>
      </c>
      <c r="G351" s="10">
        <v>2100</v>
      </c>
      <c r="H351" s="10">
        <f t="shared" si="6"/>
        <v>4200</v>
      </c>
    </row>
    <row r="352" spans="1:8" x14ac:dyDescent="0.35">
      <c r="A352" s="4">
        <v>351</v>
      </c>
      <c r="B352" s="5">
        <v>44547</v>
      </c>
      <c r="C352" s="6" t="s">
        <v>8</v>
      </c>
      <c r="D352" s="6" t="s">
        <v>9</v>
      </c>
      <c r="E352" s="6" t="s">
        <v>10</v>
      </c>
      <c r="F352" s="10">
        <v>7</v>
      </c>
      <c r="G352" s="10">
        <v>210</v>
      </c>
      <c r="H352" s="10">
        <f t="shared" si="6"/>
        <v>1470</v>
      </c>
    </row>
    <row r="353" spans="1:8" x14ac:dyDescent="0.35">
      <c r="A353" s="4">
        <v>352</v>
      </c>
      <c r="B353" s="5">
        <v>44548</v>
      </c>
      <c r="C353" s="6" t="s">
        <v>8</v>
      </c>
      <c r="D353" s="6" t="s">
        <v>12</v>
      </c>
      <c r="E353" s="6" t="s">
        <v>13</v>
      </c>
      <c r="F353" s="10">
        <v>6</v>
      </c>
      <c r="G353" s="10">
        <v>2100</v>
      </c>
      <c r="H353" s="10">
        <f t="shared" si="6"/>
        <v>12600</v>
      </c>
    </row>
    <row r="354" spans="1:8" x14ac:dyDescent="0.35">
      <c r="A354" s="4">
        <v>353</v>
      </c>
      <c r="B354" s="5">
        <v>44549</v>
      </c>
      <c r="C354" s="6" t="s">
        <v>8</v>
      </c>
      <c r="D354" s="6" t="s">
        <v>22</v>
      </c>
      <c r="E354" s="6" t="s">
        <v>15</v>
      </c>
      <c r="F354" s="10">
        <v>5</v>
      </c>
      <c r="G354" s="10">
        <v>1200</v>
      </c>
      <c r="H354" s="10">
        <f t="shared" si="6"/>
        <v>6000</v>
      </c>
    </row>
    <row r="355" spans="1:8" x14ac:dyDescent="0.35">
      <c r="A355" s="4">
        <v>354</v>
      </c>
      <c r="B355" s="5">
        <v>44550</v>
      </c>
      <c r="C355" s="6" t="s">
        <v>8</v>
      </c>
      <c r="D355" s="6" t="s">
        <v>23</v>
      </c>
      <c r="E355" s="6" t="s">
        <v>17</v>
      </c>
      <c r="F355" s="10">
        <v>4</v>
      </c>
      <c r="G355" s="10">
        <v>1500</v>
      </c>
      <c r="H355" s="10">
        <f t="shared" si="6"/>
        <v>6000</v>
      </c>
    </row>
    <row r="356" spans="1:8" x14ac:dyDescent="0.35">
      <c r="A356" s="4">
        <v>355</v>
      </c>
      <c r="B356" s="5">
        <v>44551</v>
      </c>
      <c r="C356" s="6" t="s">
        <v>8</v>
      </c>
      <c r="D356" s="6" t="s">
        <v>9</v>
      </c>
      <c r="E356" s="6" t="s">
        <v>19</v>
      </c>
      <c r="F356" s="10">
        <v>3</v>
      </c>
      <c r="G356" s="10">
        <v>300</v>
      </c>
      <c r="H356" s="10">
        <f t="shared" si="6"/>
        <v>900</v>
      </c>
    </row>
    <row r="357" spans="1:8" x14ac:dyDescent="0.35">
      <c r="A357" s="4">
        <v>356</v>
      </c>
      <c r="B357" s="5">
        <v>44552</v>
      </c>
      <c r="C357" s="6" t="s">
        <v>8</v>
      </c>
      <c r="D357" s="6" t="s">
        <v>12</v>
      </c>
      <c r="E357" s="6" t="s">
        <v>21</v>
      </c>
      <c r="F357" s="10">
        <v>2</v>
      </c>
      <c r="G357" s="10">
        <v>190</v>
      </c>
      <c r="H357" s="10">
        <f t="shared" si="6"/>
        <v>380</v>
      </c>
    </row>
    <row r="358" spans="1:8" x14ac:dyDescent="0.35">
      <c r="A358" s="4">
        <v>357</v>
      </c>
      <c r="B358" s="5">
        <v>44553</v>
      </c>
      <c r="C358" s="6" t="s">
        <v>8</v>
      </c>
      <c r="D358" s="6" t="s">
        <v>22</v>
      </c>
      <c r="E358" s="6" t="s">
        <v>10</v>
      </c>
      <c r="F358" s="10">
        <v>7</v>
      </c>
      <c r="G358" s="10">
        <v>210</v>
      </c>
      <c r="H358" s="10">
        <f t="shared" si="6"/>
        <v>1470</v>
      </c>
    </row>
    <row r="359" spans="1:8" x14ac:dyDescent="0.35">
      <c r="A359" s="4">
        <v>358</v>
      </c>
      <c r="B359" s="5">
        <v>44554</v>
      </c>
      <c r="C359" s="6" t="s">
        <v>8</v>
      </c>
      <c r="D359" s="6" t="s">
        <v>23</v>
      </c>
      <c r="E359" s="6" t="s">
        <v>13</v>
      </c>
      <c r="F359" s="10">
        <v>6</v>
      </c>
      <c r="G359" s="10">
        <v>2100</v>
      </c>
      <c r="H359" s="10">
        <f t="shared" si="6"/>
        <v>12600</v>
      </c>
    </row>
    <row r="360" spans="1:8" x14ac:dyDescent="0.35">
      <c r="A360" s="4">
        <v>359</v>
      </c>
      <c r="B360" s="5">
        <v>44555</v>
      </c>
      <c r="C360" s="6" t="s">
        <v>11</v>
      </c>
      <c r="D360" s="6" t="s">
        <v>12</v>
      </c>
      <c r="E360" s="6" t="s">
        <v>13</v>
      </c>
      <c r="F360" s="10">
        <v>6</v>
      </c>
      <c r="G360" s="10">
        <v>2100</v>
      </c>
      <c r="H360" s="10">
        <f t="shared" si="6"/>
        <v>12600</v>
      </c>
    </row>
    <row r="361" spans="1:8" x14ac:dyDescent="0.35">
      <c r="A361" s="4">
        <v>360</v>
      </c>
      <c r="B361" s="5">
        <v>44556</v>
      </c>
      <c r="C361" s="6" t="s">
        <v>11</v>
      </c>
      <c r="D361" s="6" t="s">
        <v>9</v>
      </c>
      <c r="E361" s="6" t="s">
        <v>13</v>
      </c>
      <c r="F361" s="10">
        <v>6</v>
      </c>
      <c r="G361" s="10">
        <v>2100</v>
      </c>
      <c r="H361" s="10">
        <f t="shared" si="6"/>
        <v>12600</v>
      </c>
    </row>
    <row r="362" spans="1:8" x14ac:dyDescent="0.35">
      <c r="A362" s="4">
        <v>361</v>
      </c>
      <c r="B362" s="5">
        <v>44557</v>
      </c>
      <c r="C362" s="6" t="s">
        <v>11</v>
      </c>
      <c r="D362" s="6" t="s">
        <v>22</v>
      </c>
      <c r="E362" s="6" t="s">
        <v>13</v>
      </c>
      <c r="F362" s="10">
        <v>6</v>
      </c>
      <c r="G362" s="10">
        <v>2100</v>
      </c>
      <c r="H362" s="10">
        <f t="shared" si="6"/>
        <v>12600</v>
      </c>
    </row>
    <row r="363" spans="1:8" x14ac:dyDescent="0.35">
      <c r="A363" s="4">
        <v>362</v>
      </c>
      <c r="B363" s="5">
        <v>44558</v>
      </c>
      <c r="C363" s="6" t="s">
        <v>11</v>
      </c>
      <c r="D363" s="6" t="s">
        <v>23</v>
      </c>
      <c r="E363" s="6" t="s">
        <v>13</v>
      </c>
      <c r="F363" s="10">
        <v>6</v>
      </c>
      <c r="G363" s="10">
        <v>2100</v>
      </c>
      <c r="H363" s="10">
        <f t="shared" si="6"/>
        <v>12600</v>
      </c>
    </row>
    <row r="364" spans="1:8" x14ac:dyDescent="0.35">
      <c r="A364" s="4">
        <v>363</v>
      </c>
      <c r="B364" s="5">
        <v>44559</v>
      </c>
      <c r="C364" s="6" t="s">
        <v>11</v>
      </c>
      <c r="D364" s="6" t="s">
        <v>12</v>
      </c>
      <c r="E364" s="6" t="s">
        <v>13</v>
      </c>
      <c r="F364" s="10">
        <v>6</v>
      </c>
      <c r="G364" s="10">
        <v>2100</v>
      </c>
      <c r="H364" s="10">
        <f t="shared" si="6"/>
        <v>12600</v>
      </c>
    </row>
    <row r="365" spans="1:8" x14ac:dyDescent="0.35">
      <c r="A365" s="4">
        <v>364</v>
      </c>
      <c r="B365" s="5">
        <v>44560</v>
      </c>
      <c r="C365" s="6" t="s">
        <v>11</v>
      </c>
      <c r="D365" s="6" t="s">
        <v>9</v>
      </c>
      <c r="E365" s="6" t="s">
        <v>13</v>
      </c>
      <c r="F365" s="10">
        <v>6</v>
      </c>
      <c r="G365" s="10">
        <v>2100</v>
      </c>
      <c r="H365" s="10">
        <f t="shared" si="6"/>
        <v>12600</v>
      </c>
    </row>
    <row r="366" spans="1:8" x14ac:dyDescent="0.35">
      <c r="A366" s="4">
        <v>365</v>
      </c>
      <c r="B366" s="5">
        <v>44561</v>
      </c>
      <c r="C366" s="6" t="s">
        <v>11</v>
      </c>
      <c r="D366" s="6" t="s">
        <v>22</v>
      </c>
      <c r="E366" s="6" t="s">
        <v>15</v>
      </c>
      <c r="F366" s="10">
        <v>6</v>
      </c>
      <c r="G366" s="10">
        <v>1200</v>
      </c>
      <c r="H366" s="10">
        <f t="shared" si="6"/>
        <v>7200</v>
      </c>
    </row>
    <row r="367" spans="1:8" x14ac:dyDescent="0.35">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2AB4-8879-4609-8688-0FC06B095682}">
  <dimension ref="A1:E83"/>
  <sheetViews>
    <sheetView topLeftCell="A64" zoomScale="85" zoomScaleNormal="85" workbookViewId="0">
      <selection activeCell="B77" sqref="B77"/>
    </sheetView>
  </sheetViews>
  <sheetFormatPr defaultRowHeight="18" x14ac:dyDescent="0.35"/>
  <cols>
    <col min="1" max="1" width="12.08203125" customWidth="1"/>
    <col min="2" max="2" width="13.83203125" customWidth="1"/>
    <col min="4" max="4" width="12.08203125" customWidth="1"/>
    <col min="5" max="5" width="13.83203125" customWidth="1"/>
  </cols>
  <sheetData>
    <row r="1" spans="1:5" x14ac:dyDescent="0.35">
      <c r="A1" s="14" t="s">
        <v>41</v>
      </c>
      <c r="D1" s="14" t="s">
        <v>42</v>
      </c>
    </row>
    <row r="2" spans="1:5" x14ac:dyDescent="0.35">
      <c r="A2" s="7" t="s">
        <v>24</v>
      </c>
      <c r="B2" t="s">
        <v>35</v>
      </c>
      <c r="D2" s="7" t="s">
        <v>24</v>
      </c>
      <c r="E2" t="s">
        <v>35</v>
      </c>
    </row>
    <row r="3" spans="1:5" x14ac:dyDescent="0.35">
      <c r="A3" s="8" t="s">
        <v>38</v>
      </c>
      <c r="B3" s="13">
        <v>143130</v>
      </c>
      <c r="D3" s="8" t="s">
        <v>9</v>
      </c>
      <c r="E3" s="13">
        <v>736080</v>
      </c>
    </row>
    <row r="4" spans="1:5" x14ac:dyDescent="0.35">
      <c r="A4" s="8" t="s">
        <v>26</v>
      </c>
      <c r="B4" s="13">
        <v>224470</v>
      </c>
      <c r="D4" s="8" t="s">
        <v>22</v>
      </c>
      <c r="E4" s="13">
        <v>203680</v>
      </c>
    </row>
    <row r="5" spans="1:5" x14ac:dyDescent="0.35">
      <c r="A5" s="8" t="s">
        <v>27</v>
      </c>
      <c r="B5" s="13">
        <v>86100</v>
      </c>
      <c r="D5" s="8" t="s">
        <v>23</v>
      </c>
      <c r="E5" s="13">
        <v>335480</v>
      </c>
    </row>
    <row r="6" spans="1:5" x14ac:dyDescent="0.35">
      <c r="A6" s="8" t="s">
        <v>28</v>
      </c>
      <c r="B6" s="13">
        <v>153530</v>
      </c>
      <c r="D6" s="8" t="s">
        <v>12</v>
      </c>
      <c r="E6" s="13">
        <v>507330</v>
      </c>
    </row>
    <row r="7" spans="1:5" x14ac:dyDescent="0.35">
      <c r="A7" s="8" t="s">
        <v>29</v>
      </c>
      <c r="B7" s="13">
        <v>110160</v>
      </c>
      <c r="D7" s="8" t="s">
        <v>25</v>
      </c>
      <c r="E7" s="13">
        <v>1782570</v>
      </c>
    </row>
    <row r="8" spans="1:5" x14ac:dyDescent="0.35">
      <c r="A8" s="8" t="s">
        <v>30</v>
      </c>
      <c r="B8" s="13">
        <v>118530</v>
      </c>
    </row>
    <row r="9" spans="1:5" x14ac:dyDescent="0.35">
      <c r="A9" s="8" t="s">
        <v>31</v>
      </c>
      <c r="B9" s="13">
        <v>130100</v>
      </c>
    </row>
    <row r="10" spans="1:5" x14ac:dyDescent="0.35">
      <c r="A10" s="8" t="s">
        <v>32</v>
      </c>
      <c r="B10" s="13">
        <v>156300</v>
      </c>
      <c r="D10" s="15" t="s">
        <v>43</v>
      </c>
    </row>
    <row r="11" spans="1:5" x14ac:dyDescent="0.35">
      <c r="A11" s="8" t="s">
        <v>33</v>
      </c>
      <c r="B11" s="13">
        <v>223770</v>
      </c>
      <c r="D11" s="7" t="s">
        <v>24</v>
      </c>
      <c r="E11" t="s">
        <v>35</v>
      </c>
    </row>
    <row r="12" spans="1:5" x14ac:dyDescent="0.35">
      <c r="A12" s="8" t="s">
        <v>34</v>
      </c>
      <c r="B12" s="13">
        <v>197350</v>
      </c>
      <c r="D12" s="8" t="s">
        <v>21</v>
      </c>
      <c r="E12" s="16">
        <v>1.4204210774331443E-2</v>
      </c>
    </row>
    <row r="13" spans="1:5" x14ac:dyDescent="0.35">
      <c r="A13" s="8" t="s">
        <v>39</v>
      </c>
      <c r="B13" s="13">
        <v>31520</v>
      </c>
      <c r="D13" s="8" t="s">
        <v>15</v>
      </c>
      <c r="E13" s="16">
        <v>0.19017485989330013</v>
      </c>
    </row>
    <row r="14" spans="1:5" x14ac:dyDescent="0.35">
      <c r="A14" s="8" t="s">
        <v>40</v>
      </c>
      <c r="B14" s="13">
        <v>207610</v>
      </c>
      <c r="D14" s="8" t="s">
        <v>10</v>
      </c>
      <c r="E14" s="16">
        <v>3.7109342129621838E-2</v>
      </c>
    </row>
    <row r="15" spans="1:5" x14ac:dyDescent="0.35">
      <c r="A15" s="8" t="s">
        <v>25</v>
      </c>
      <c r="B15" s="13">
        <v>1782570</v>
      </c>
      <c r="D15" s="8" t="s">
        <v>13</v>
      </c>
      <c r="E15" s="16">
        <v>0.52424308722799107</v>
      </c>
    </row>
    <row r="16" spans="1:5" x14ac:dyDescent="0.35">
      <c r="D16" s="8" t="s">
        <v>17</v>
      </c>
      <c r="E16" s="16">
        <v>0.1975798986856056</v>
      </c>
    </row>
    <row r="17" spans="1:5" x14ac:dyDescent="0.35">
      <c r="D17" s="8" t="s">
        <v>19</v>
      </c>
      <c r="E17" s="16">
        <v>3.6688601289149934E-2</v>
      </c>
    </row>
    <row r="18" spans="1:5" x14ac:dyDescent="0.35">
      <c r="A18" s="15" t="s">
        <v>44</v>
      </c>
      <c r="D18" s="8" t="s">
        <v>25</v>
      </c>
      <c r="E18" s="12">
        <v>1</v>
      </c>
    </row>
    <row r="19" spans="1:5" x14ac:dyDescent="0.35">
      <c r="A19" t="s">
        <v>35</v>
      </c>
    </row>
    <row r="20" spans="1:5" x14ac:dyDescent="0.35">
      <c r="A20" s="11">
        <v>1782570</v>
      </c>
      <c r="B20" s="17">
        <f>GETPIVOTDATA("Amount",$A$19)</f>
        <v>1782570</v>
      </c>
    </row>
    <row r="23" spans="1:5" x14ac:dyDescent="0.35">
      <c r="A23" s="15" t="s">
        <v>45</v>
      </c>
    </row>
    <row r="24" spans="1:5" x14ac:dyDescent="0.35">
      <c r="A24" t="s">
        <v>36</v>
      </c>
    </row>
    <row r="25" spans="1:5" x14ac:dyDescent="0.35">
      <c r="A25" s="18">
        <v>366</v>
      </c>
      <c r="B25">
        <f>GETPIVOTDATA("Amount",$A$24)</f>
        <v>366</v>
      </c>
    </row>
    <row r="28" spans="1:5" x14ac:dyDescent="0.35">
      <c r="A28" s="14" t="s">
        <v>46</v>
      </c>
    </row>
    <row r="29" spans="1:5" x14ac:dyDescent="0.35">
      <c r="A29" s="7" t="s">
        <v>24</v>
      </c>
      <c r="B29" t="s">
        <v>37</v>
      </c>
    </row>
    <row r="30" spans="1:5" x14ac:dyDescent="0.35">
      <c r="A30" s="8" t="s">
        <v>15</v>
      </c>
      <c r="B30" s="13">
        <v>251</v>
      </c>
    </row>
    <row r="31" spans="1:5" x14ac:dyDescent="0.35">
      <c r="A31" s="8" t="s">
        <v>10</v>
      </c>
      <c r="B31" s="13">
        <v>319</v>
      </c>
    </row>
    <row r="32" spans="1:5" x14ac:dyDescent="0.35">
      <c r="A32" s="8" t="s">
        <v>13</v>
      </c>
      <c r="B32" s="13">
        <v>445</v>
      </c>
    </row>
    <row r="33" spans="1:2" x14ac:dyDescent="0.35">
      <c r="A33" s="8" t="s">
        <v>25</v>
      </c>
      <c r="B33" s="13">
        <v>1015</v>
      </c>
    </row>
    <row r="36" spans="1:2" x14ac:dyDescent="0.35">
      <c r="A36" s="15" t="s">
        <v>47</v>
      </c>
    </row>
    <row r="37" spans="1:2" x14ac:dyDescent="0.35">
      <c r="A37" s="7" t="s">
        <v>24</v>
      </c>
      <c r="B37" t="s">
        <v>37</v>
      </c>
    </row>
    <row r="38" spans="1:2" x14ac:dyDescent="0.35">
      <c r="A38" s="8" t="s">
        <v>21</v>
      </c>
      <c r="B38" s="13">
        <v>132</v>
      </c>
    </row>
    <row r="39" spans="1:2" x14ac:dyDescent="0.35">
      <c r="A39" s="8" t="s">
        <v>19</v>
      </c>
      <c r="B39" s="13">
        <v>218</v>
      </c>
    </row>
    <row r="40" spans="1:2" x14ac:dyDescent="0.35">
      <c r="A40" s="8" t="s">
        <v>17</v>
      </c>
      <c r="B40" s="13">
        <v>242</v>
      </c>
    </row>
    <row r="41" spans="1:2" x14ac:dyDescent="0.35">
      <c r="A41" s="8" t="s">
        <v>25</v>
      </c>
      <c r="B41" s="13">
        <v>592</v>
      </c>
    </row>
    <row r="44" spans="1:2" x14ac:dyDescent="0.35">
      <c r="A44" s="15" t="s">
        <v>48</v>
      </c>
    </row>
    <row r="45" spans="1:2" x14ac:dyDescent="0.35">
      <c r="A45" s="7" t="s">
        <v>24</v>
      </c>
      <c r="B45" t="s">
        <v>37</v>
      </c>
    </row>
    <row r="46" spans="1:2" x14ac:dyDescent="0.35">
      <c r="A46" s="8" t="s">
        <v>21</v>
      </c>
      <c r="B46" s="13">
        <v>132</v>
      </c>
    </row>
    <row r="47" spans="1:2" x14ac:dyDescent="0.35">
      <c r="A47" s="8" t="s">
        <v>15</v>
      </c>
      <c r="B47" s="13">
        <v>251</v>
      </c>
    </row>
    <row r="48" spans="1:2" x14ac:dyDescent="0.35">
      <c r="A48" s="8" t="s">
        <v>10</v>
      </c>
      <c r="B48" s="13">
        <v>319</v>
      </c>
    </row>
    <row r="49" spans="1:2" x14ac:dyDescent="0.35">
      <c r="A49" s="8" t="s">
        <v>13</v>
      </c>
      <c r="B49" s="13">
        <v>445</v>
      </c>
    </row>
    <row r="50" spans="1:2" x14ac:dyDescent="0.35">
      <c r="A50" s="8" t="s">
        <v>17</v>
      </c>
      <c r="B50" s="13">
        <v>242</v>
      </c>
    </row>
    <row r="51" spans="1:2" x14ac:dyDescent="0.35">
      <c r="A51" s="8" t="s">
        <v>19</v>
      </c>
      <c r="B51" s="13">
        <v>218</v>
      </c>
    </row>
    <row r="52" spans="1:2" x14ac:dyDescent="0.35">
      <c r="A52" s="8" t="s">
        <v>25</v>
      </c>
      <c r="B52" s="13">
        <v>1607</v>
      </c>
    </row>
    <row r="56" spans="1:2" x14ac:dyDescent="0.35">
      <c r="A56" s="14" t="s">
        <v>49</v>
      </c>
    </row>
    <row r="57" spans="1:2" x14ac:dyDescent="0.35">
      <c r="A57" s="7" t="s">
        <v>24</v>
      </c>
      <c r="B57" t="s">
        <v>35</v>
      </c>
    </row>
    <row r="58" spans="1:2" x14ac:dyDescent="0.35">
      <c r="A58" s="8" t="s">
        <v>8</v>
      </c>
      <c r="B58" s="13">
        <v>386030</v>
      </c>
    </row>
    <row r="59" spans="1:2" x14ac:dyDescent="0.35">
      <c r="A59" s="8" t="s">
        <v>11</v>
      </c>
      <c r="B59" s="13">
        <v>394410</v>
      </c>
    </row>
    <row r="60" spans="1:2" x14ac:dyDescent="0.35">
      <c r="A60" s="8" t="s">
        <v>20</v>
      </c>
      <c r="B60" s="13">
        <v>551960</v>
      </c>
    </row>
    <row r="61" spans="1:2" x14ac:dyDescent="0.35">
      <c r="A61" s="8" t="s">
        <v>25</v>
      </c>
      <c r="B61" s="13">
        <v>1332400</v>
      </c>
    </row>
    <row r="65" spans="1:2" x14ac:dyDescent="0.35">
      <c r="A65" s="14" t="s">
        <v>50</v>
      </c>
    </row>
    <row r="66" spans="1:2" x14ac:dyDescent="0.35">
      <c r="A66" s="7" t="s">
        <v>24</v>
      </c>
      <c r="B66" t="s">
        <v>35</v>
      </c>
    </row>
    <row r="67" spans="1:2" x14ac:dyDescent="0.35">
      <c r="A67" s="8" t="s">
        <v>16</v>
      </c>
      <c r="B67" s="13">
        <v>184690</v>
      </c>
    </row>
    <row r="68" spans="1:2" x14ac:dyDescent="0.35">
      <c r="A68" s="8" t="s">
        <v>14</v>
      </c>
      <c r="B68" s="13">
        <v>139880</v>
      </c>
    </row>
    <row r="69" spans="1:2" x14ac:dyDescent="0.35">
      <c r="A69" s="8" t="s">
        <v>18</v>
      </c>
      <c r="B69" s="13">
        <v>125600</v>
      </c>
    </row>
    <row r="70" spans="1:2" x14ac:dyDescent="0.35">
      <c r="A70" s="8" t="s">
        <v>25</v>
      </c>
      <c r="B70" s="13">
        <v>450170</v>
      </c>
    </row>
    <row r="75" spans="1:2" x14ac:dyDescent="0.35">
      <c r="A75" s="14" t="s">
        <v>51</v>
      </c>
    </row>
    <row r="76" spans="1:2" x14ac:dyDescent="0.35">
      <c r="A76" s="7" t="s">
        <v>24</v>
      </c>
      <c r="B76" t="s">
        <v>35</v>
      </c>
    </row>
    <row r="77" spans="1:2" x14ac:dyDescent="0.35">
      <c r="A77" s="8" t="s">
        <v>20</v>
      </c>
      <c r="B77" s="13">
        <v>551960</v>
      </c>
    </row>
    <row r="78" spans="1:2" x14ac:dyDescent="0.35">
      <c r="A78" s="8" t="s">
        <v>11</v>
      </c>
      <c r="B78" s="13">
        <v>394410</v>
      </c>
    </row>
    <row r="79" spans="1:2" x14ac:dyDescent="0.35">
      <c r="A79" s="8" t="s">
        <v>8</v>
      </c>
      <c r="B79" s="13">
        <v>386030</v>
      </c>
    </row>
    <row r="80" spans="1:2" x14ac:dyDescent="0.35">
      <c r="A80" s="8" t="s">
        <v>16</v>
      </c>
      <c r="B80" s="13">
        <v>184690</v>
      </c>
    </row>
    <row r="81" spans="1:2" x14ac:dyDescent="0.35">
      <c r="A81" s="8" t="s">
        <v>14</v>
      </c>
      <c r="B81" s="13">
        <v>139880</v>
      </c>
    </row>
    <row r="82" spans="1:2" x14ac:dyDescent="0.35">
      <c r="A82" s="8" t="s">
        <v>18</v>
      </c>
      <c r="B82" s="13">
        <v>125600</v>
      </c>
    </row>
    <row r="83" spans="1:2" x14ac:dyDescent="0.35">
      <c r="A83" s="8" t="s">
        <v>25</v>
      </c>
      <c r="B83" s="13">
        <v>1782570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Products</vt:lpstr>
      <vt:lpstr>SalesMan</vt:lpstr>
      <vt:lpstr>About</vt:lpstr>
      <vt:lpstr>Sales 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ABHISHEK TIWARI</cp:lastModifiedBy>
  <dcterms:created xsi:type="dcterms:W3CDTF">2021-11-30T04:15:57Z</dcterms:created>
  <dcterms:modified xsi:type="dcterms:W3CDTF">2025-07-14T05:22:45Z</dcterms:modified>
</cp:coreProperties>
</file>